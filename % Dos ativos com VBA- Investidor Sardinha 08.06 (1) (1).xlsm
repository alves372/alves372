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heussouza\Downloads\"/>
    </mc:Choice>
  </mc:AlternateContent>
  <xr:revisionPtr revIDLastSave="0" documentId="13_ncr:1_{DE49DC0D-B5ED-4018-9F81-CA65682A573C}" xr6:coauthVersionLast="45" xr6:coauthVersionMax="45" xr10:uidLastSave="{00000000-0000-0000-0000-000000000000}"/>
  <bookViews>
    <workbookView xWindow="-110" yWindow="-110" windowWidth="19420" windowHeight="10460" activeTab="1" xr2:uid="{00000000-000D-0000-FFFF-FFFF00000000}"/>
  </bookViews>
  <sheets>
    <sheet name="RASCUNHO" sheetId="1" r:id="rId1"/>
    <sheet name="RESULTADO" sheetId="2" r:id="rId2"/>
  </sheets>
  <definedNames>
    <definedName name="ATIVO">RESULTADO!$B$35:$B$78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2" l="1"/>
  <c r="C6" i="2"/>
  <c r="C5" i="2"/>
  <c r="C8" i="2" l="1"/>
</calcChain>
</file>

<file path=xl/sharedStrings.xml><?xml version="1.0" encoding="utf-8"?>
<sst xmlns="http://schemas.openxmlformats.org/spreadsheetml/2006/main" count="1257" uniqueCount="849">
  <si>
    <t>ATIVO</t>
  </si>
  <si>
    <t>TOTAL DE AÇÕES</t>
  </si>
  <si>
    <t>EMPRESA</t>
  </si>
  <si>
    <t>WEGE3</t>
  </si>
  <si>
    <t>FLRY3</t>
  </si>
  <si>
    <t>BBDC4</t>
  </si>
  <si>
    <t>ITSA4</t>
  </si>
  <si>
    <t>BBSE3</t>
  </si>
  <si>
    <t>GRND3</t>
  </si>
  <si>
    <t>LUPA3</t>
  </si>
  <si>
    <t>TAEE11</t>
  </si>
  <si>
    <t>MGLU3</t>
  </si>
  <si>
    <t>WISZ3</t>
  </si>
  <si>
    <t>PETR4</t>
  </si>
  <si>
    <t>B3SA3</t>
  </si>
  <si>
    <t>SUZB3</t>
  </si>
  <si>
    <t>KLBN3</t>
  </si>
  <si>
    <t>ABEV3</t>
  </si>
  <si>
    <t>EGI3</t>
  </si>
  <si>
    <t>RENT3</t>
  </si>
  <si>
    <t>CSAN3</t>
  </si>
  <si>
    <t>CIEL3</t>
  </si>
  <si>
    <t>MRFG3</t>
  </si>
  <si>
    <t>TOTS3</t>
  </si>
  <si>
    <t>CYRE3</t>
  </si>
  <si>
    <t>TIET11</t>
  </si>
  <si>
    <t>EMBR3</t>
  </si>
  <si>
    <t>JSLG3</t>
  </si>
  <si>
    <t>OIBR3</t>
  </si>
  <si>
    <t>ARZZ3</t>
  </si>
  <si>
    <t>JHSF3</t>
  </si>
  <si>
    <t>ABCB4</t>
  </si>
  <si>
    <t>TUPY3</t>
  </si>
  <si>
    <t>LEVE3</t>
  </si>
  <si>
    <t>MYPK3</t>
  </si>
  <si>
    <t>EVEN3</t>
  </si>
  <si>
    <t>SQIA3</t>
  </si>
  <si>
    <t>SHUL4</t>
  </si>
  <si>
    <t>ETER3</t>
  </si>
  <si>
    <t>BKBR3</t>
  </si>
  <si>
    <t>MOVI3</t>
  </si>
  <si>
    <t>AZUL4</t>
  </si>
  <si>
    <t>CNTO3</t>
  </si>
  <si>
    <t>BIDI4</t>
  </si>
  <si>
    <t>EZTC3</t>
  </si>
  <si>
    <t>UNIP3</t>
  </si>
  <si>
    <t>QUANTDADE DE ATIVOS</t>
  </si>
  <si>
    <t>PORCENTAGEM DA EMPRESA</t>
  </si>
  <si>
    <t>INVESTIDOR SARDINHA</t>
  </si>
  <si>
    <t xml:space="preserve">ATIVO </t>
  </si>
  <si>
    <t>QTD ATUAL</t>
  </si>
  <si>
    <t>% DA EMPRESA</t>
  </si>
  <si>
    <t>NUMERAÇÃO</t>
  </si>
  <si>
    <t>CALCULO DO ATIVO</t>
  </si>
  <si>
    <t>SETOR</t>
  </si>
  <si>
    <t>AALR3</t>
  </si>
  <si>
    <t>SAÚDE</t>
  </si>
  <si>
    <t>ALLIAR ON NM</t>
  </si>
  <si>
    <t>FINANCEIRO</t>
  </si>
  <si>
    <t>ABC Brasil PN N2</t>
  </si>
  <si>
    <t>BEBIDAS</t>
  </si>
  <si>
    <t>AMBEV S/A ON NM</t>
  </si>
  <si>
    <t>ADHM3</t>
  </si>
  <si>
    <t>LIMPEZA E USO PESSOAL</t>
  </si>
  <si>
    <t>VITALYZE.ME</t>
  </si>
  <si>
    <t>AFLT3</t>
  </si>
  <si>
    <t>ELETRICAS</t>
  </si>
  <si>
    <t>AFLUENTE T ON</t>
  </si>
  <si>
    <t>AGRO3</t>
  </si>
  <si>
    <t>IMOVEIS</t>
  </si>
  <si>
    <t>BRASILAGRO ON NM</t>
  </si>
  <si>
    <t>AHEB3</t>
  </si>
  <si>
    <t>PARQUE ANHEMBI ON</t>
  </si>
  <si>
    <t>ALPA3</t>
  </si>
  <si>
    <t>CALÇADOS E VESTUARIOS</t>
  </si>
  <si>
    <t>ALPARGATAS ON N1</t>
  </si>
  <si>
    <t>ALPA4</t>
  </si>
  <si>
    <t>ALPARGATAS PN N1</t>
  </si>
  <si>
    <t>ALSO3</t>
  </si>
  <si>
    <t>ALIANSCSONAE ON</t>
  </si>
  <si>
    <t>ALUP11</t>
  </si>
  <si>
    <t>ALUPAR UNT N2</t>
  </si>
  <si>
    <t>ALUP3</t>
  </si>
  <si>
    <t>ALUPAR ON N2</t>
  </si>
  <si>
    <t>ALUP4</t>
  </si>
  <si>
    <t>ALUPAR PN N2</t>
  </si>
  <si>
    <t>AMAR3</t>
  </si>
  <si>
    <t>COMÉRCIO</t>
  </si>
  <si>
    <t>LOJAS MARISA ON NM</t>
  </si>
  <si>
    <t>ANIM3</t>
  </si>
  <si>
    <t>EDUCAÇÃO</t>
  </si>
  <si>
    <t>ANIMA ON NM</t>
  </si>
  <si>
    <t>APER3</t>
  </si>
  <si>
    <t>SEGUROS E PREVIDÊNCIA</t>
  </si>
  <si>
    <t>ALPER S.A. ON</t>
  </si>
  <si>
    <t>AREZZO CO ON NM</t>
  </si>
  <si>
    <t>AZEV3</t>
  </si>
  <si>
    <t>CONSTRUÇÃO</t>
  </si>
  <si>
    <t>AZEVEDO &amp; TRAVASSOS ON</t>
  </si>
  <si>
    <t>AZEV4</t>
  </si>
  <si>
    <t>AZEVEDO &amp; TRAVASSOS PN</t>
  </si>
  <si>
    <t>TRANSPORTE</t>
  </si>
  <si>
    <t>AZUL PN</t>
  </si>
  <si>
    <t>SERVIÇOS</t>
  </si>
  <si>
    <t>B3 ON</t>
  </si>
  <si>
    <t>BAHI3</t>
  </si>
  <si>
    <t>HOLDINGS</t>
  </si>
  <si>
    <t>BAHEMA ON</t>
  </si>
  <si>
    <t>BALM4</t>
  </si>
  <si>
    <t>MÁQUINAS</t>
  </si>
  <si>
    <t>BAUMER PN</t>
  </si>
  <si>
    <t>BAUH4</t>
  </si>
  <si>
    <t>ALIMENTOS</t>
  </si>
  <si>
    <t>EXCELSIOR PN</t>
  </si>
  <si>
    <t>BAZA3</t>
  </si>
  <si>
    <t>BANCO DA AMAZONIA S.A. ON</t>
  </si>
  <si>
    <t>BBAS3</t>
  </si>
  <si>
    <t>BANCO DO BRASIL S.A. ON</t>
  </si>
  <si>
    <t>BBDC3</t>
  </si>
  <si>
    <t>BANCO BRADESCO S.A. ON N1</t>
  </si>
  <si>
    <t>BANCO BRADESCO S.A. PN N1</t>
  </si>
  <si>
    <t>BBRK3</t>
  </si>
  <si>
    <t>BR Brokers ON NM</t>
  </si>
  <si>
    <t>BBSEGURIDADE ON NM</t>
  </si>
  <si>
    <t>BDLL4</t>
  </si>
  <si>
    <t>BAEDELLA PN</t>
  </si>
  <si>
    <t>BEEF3</t>
  </si>
  <si>
    <t>Minerva ON NM</t>
  </si>
  <si>
    <t>BEES3</t>
  </si>
  <si>
    <t>BANESTES S/A ON</t>
  </si>
  <si>
    <t>BEES4</t>
  </si>
  <si>
    <t>BANESTES S/A PN</t>
  </si>
  <si>
    <t>BGIP3</t>
  </si>
  <si>
    <t>BANESE ON</t>
  </si>
  <si>
    <t>BGIP4</t>
  </si>
  <si>
    <t>BANESE PN</t>
  </si>
  <si>
    <t>BIDI11</t>
  </si>
  <si>
    <t>INTER BANCO UNT N2</t>
  </si>
  <si>
    <t>BIDI3</t>
  </si>
  <si>
    <t>INTER BANCO ON N2</t>
  </si>
  <si>
    <t>INTER BANCO PN N2</t>
  </si>
  <si>
    <t>BIOM3</t>
  </si>
  <si>
    <t>BIOMM SA ON</t>
  </si>
  <si>
    <t>HOTEIS E RESTAURANTES</t>
  </si>
  <si>
    <t>BK BRASIL ON NM</t>
  </si>
  <si>
    <t>BMEB3</t>
  </si>
  <si>
    <t>BANCO MERCANTIL DO BRASIL S/A ON</t>
  </si>
  <si>
    <t>BMEB4</t>
  </si>
  <si>
    <t>BANCO MERCANTIL DO BRASIL S/A PN</t>
  </si>
  <si>
    <t>BMGB11</t>
  </si>
  <si>
    <t>BANCO BMG UNT N1</t>
  </si>
  <si>
    <t>BMGB4</t>
  </si>
  <si>
    <t>BANCO BMG PN N1</t>
  </si>
  <si>
    <t>BMIN3</t>
  </si>
  <si>
    <t>BANCO MERCANTIL DE INVESTIMENTOS SA ON</t>
  </si>
  <si>
    <t>BMIN4</t>
  </si>
  <si>
    <t>BANCO MERCANTIL DE INVESTIMENTOS SA PN</t>
  </si>
  <si>
    <t>BMKS3</t>
  </si>
  <si>
    <t>LAZER</t>
  </si>
  <si>
    <t>MONARK ON</t>
  </si>
  <si>
    <t>BNBR3</t>
  </si>
  <si>
    <t>BANCO DO NORDESTE ON</t>
  </si>
  <si>
    <t>BOBR4</t>
  </si>
  <si>
    <t>BOMBRIL SA PN</t>
  </si>
  <si>
    <t>BPAC11</t>
  </si>
  <si>
    <t>BTGP BANCO UNT</t>
  </si>
  <si>
    <t>BPAC3</t>
  </si>
  <si>
    <t>BTGP BANCO ON</t>
  </si>
  <si>
    <t>BPAC5</t>
  </si>
  <si>
    <t>BTGP BANCO PNA</t>
  </si>
  <si>
    <t>BPAN4</t>
  </si>
  <si>
    <t>BANCO PAN PN</t>
  </si>
  <si>
    <t>BRAP3</t>
  </si>
  <si>
    <t>BRADESPAR S/A ON N1</t>
  </si>
  <si>
    <t>BRAP4</t>
  </si>
  <si>
    <t>BRADESPAR S/A PN N1</t>
  </si>
  <si>
    <t>BRDT3</t>
  </si>
  <si>
    <t>PETRÓLEO</t>
  </si>
  <si>
    <t>PETROBRAS BR ON NM</t>
  </si>
  <si>
    <t>BRFS3</t>
  </si>
  <si>
    <t>BRF Foods ON NM</t>
  </si>
  <si>
    <t>BRGE11</t>
  </si>
  <si>
    <t>CONSORCIO ALFA PNE</t>
  </si>
  <si>
    <t>BRGE12</t>
  </si>
  <si>
    <t>CONSORCIO ALFA PNF</t>
  </si>
  <si>
    <t>BRGE3</t>
  </si>
  <si>
    <t>CONSORCIO ALFA ON</t>
  </si>
  <si>
    <t>BRGE6</t>
  </si>
  <si>
    <t>CONSORCIO ALFA PNB</t>
  </si>
  <si>
    <t>BRIV3</t>
  </si>
  <si>
    <t>ALFA DE INVESTIMENTO ON</t>
  </si>
  <si>
    <t>BRIV4</t>
  </si>
  <si>
    <t>ALFA DE INVESTIMENTO PN</t>
  </si>
  <si>
    <t>BRKM3</t>
  </si>
  <si>
    <t>QUIMICOS</t>
  </si>
  <si>
    <t>BRASKEM ON N1</t>
  </si>
  <si>
    <t>BRKM5</t>
  </si>
  <si>
    <t>BRASKEM PNA N1</t>
  </si>
  <si>
    <t>BRML3</t>
  </si>
  <si>
    <t>BR MALLS PARTICIPAÇÔES S/A ON</t>
  </si>
  <si>
    <t>BRPR3</t>
  </si>
  <si>
    <t>BR PROPERTIES ON NM</t>
  </si>
  <si>
    <t>BRSR3</t>
  </si>
  <si>
    <t>BANRISUL S/A ON</t>
  </si>
  <si>
    <t>BRSR5</t>
  </si>
  <si>
    <t>BANRISUL S/A PNA</t>
  </si>
  <si>
    <t>BRSR6</t>
  </si>
  <si>
    <t>BANRISUL S/A PNB</t>
  </si>
  <si>
    <t>BSEV3</t>
  </si>
  <si>
    <t>BIOSEV ON NM</t>
  </si>
  <si>
    <t>BSLI3</t>
  </si>
  <si>
    <t>BRB ON</t>
  </si>
  <si>
    <t>BTOW3</t>
  </si>
  <si>
    <t>B2W - COMPANHIA GLOBAL DO VAREJO ON</t>
  </si>
  <si>
    <t>BTTL3</t>
  </si>
  <si>
    <t>APABA ON</t>
  </si>
  <si>
    <t>CAMB3</t>
  </si>
  <si>
    <t>PENALTY ON</t>
  </si>
  <si>
    <t>CAML3</t>
  </si>
  <si>
    <t>CAMIL ON NM</t>
  </si>
  <si>
    <t>CARD3</t>
  </si>
  <si>
    <t>CSU CARDSYST ON NM</t>
  </si>
  <si>
    <t>CBEE3</t>
  </si>
  <si>
    <t>AMPLA ENERG ON</t>
  </si>
  <si>
    <t>CCPR3</t>
  </si>
  <si>
    <t>CYRELA COMMERCIAL PROPERTIES SA EMP PART ON</t>
  </si>
  <si>
    <t>CCRO3</t>
  </si>
  <si>
    <t>COMPANHIA DE CONCESSÕES RODOVIÁRIAS ON NM</t>
  </si>
  <si>
    <t>CCXC3</t>
  </si>
  <si>
    <t>MINERAÇÃO</t>
  </si>
  <si>
    <t>CCX CARVAO ON NM</t>
  </si>
  <si>
    <t>CEBR3</t>
  </si>
  <si>
    <t>CEB - COMPANHIA ENERGÉTICA DE BRASÍLIA ON</t>
  </si>
  <si>
    <t>CEBR5</t>
  </si>
  <si>
    <t>CEB - COMPANHIA ENERGÉTICA DE BRASÍLIA PNA</t>
  </si>
  <si>
    <t>CEBR6</t>
  </si>
  <si>
    <t>CEB - COMPANHIA ENERGÉTICA DE BRASÍLIA PNB</t>
  </si>
  <si>
    <t>CEDO3</t>
  </si>
  <si>
    <t>CIA. DE FIAÇÃO E TECIDOS CEDRO CACHOEIRA ON</t>
  </si>
  <si>
    <t>CEDO4</t>
  </si>
  <si>
    <t>CIA. DE FIAÇÃO E TECIDOS CEDRO CACHOEIRA PN</t>
  </si>
  <si>
    <t>CEEB3</t>
  </si>
  <si>
    <t>COELBA ON</t>
  </si>
  <si>
    <t>CEEB5</t>
  </si>
  <si>
    <t>COELBA PNA</t>
  </si>
  <si>
    <t>CELP5</t>
  </si>
  <si>
    <t>CESP CIA ENERGETICA SAO PAULO ON</t>
  </si>
  <si>
    <t>CESP3</t>
  </si>
  <si>
    <t>CESP5</t>
  </si>
  <si>
    <t>CESP CIA ENERGETICA SAO PAULO PNA</t>
  </si>
  <si>
    <t>CESP6</t>
  </si>
  <si>
    <t>CESP CIA ENERGETICA SAO PAULO PNB</t>
  </si>
  <si>
    <t>CGRA3</t>
  </si>
  <si>
    <t>GRAZZIOTIN ON</t>
  </si>
  <si>
    <t>CGRA4</t>
  </si>
  <si>
    <t>GRAZZIOTIN PN</t>
  </si>
  <si>
    <t>CIELO ON NM</t>
  </si>
  <si>
    <t>CLSC3</t>
  </si>
  <si>
    <t>CELESC ON N2</t>
  </si>
  <si>
    <t>CLSC4</t>
  </si>
  <si>
    <t>CELESC PN N2</t>
  </si>
  <si>
    <t>CMIG3</t>
  </si>
  <si>
    <t>CEMIG ON N1</t>
  </si>
  <si>
    <t>CMIG4</t>
  </si>
  <si>
    <t>CEMIG PN N1</t>
  </si>
  <si>
    <t>CENTAURO ON NM</t>
  </si>
  <si>
    <t>COCE3</t>
  </si>
  <si>
    <t>CIA ENERG CEARA - COELCE ON</t>
  </si>
  <si>
    <t>COCE5</t>
  </si>
  <si>
    <t>CIA ENERG CEARA - COELCE PNA</t>
  </si>
  <si>
    <t>COGN3</t>
  </si>
  <si>
    <t>COGNA ON</t>
  </si>
  <si>
    <t>CPFE3</t>
  </si>
  <si>
    <t>CPFL ENERGIA S.A. ON</t>
  </si>
  <si>
    <t>CPLE3</t>
  </si>
  <si>
    <t>COPEL ON</t>
  </si>
  <si>
    <t>CPLE6</t>
  </si>
  <si>
    <t>COPEL PNB</t>
  </si>
  <si>
    <t>CPRE3</t>
  </si>
  <si>
    <t>CPFL RENOVAV ON NM</t>
  </si>
  <si>
    <t>CRDE3</t>
  </si>
  <si>
    <t>CR2 ON</t>
  </si>
  <si>
    <t>CRFB3</t>
  </si>
  <si>
    <t>COMERCIO E DISTRIBUIÇÃO</t>
  </si>
  <si>
    <t>CARREFOUR BR ON NM</t>
  </si>
  <si>
    <t>CRIV3</t>
  </si>
  <si>
    <t>ALFA FINANCEIRA ON</t>
  </si>
  <si>
    <t>CRIV4</t>
  </si>
  <si>
    <t>ALFA FINANCEIRA PN</t>
  </si>
  <si>
    <t>CRPG3</t>
  </si>
  <si>
    <t>CRISTAL ON</t>
  </si>
  <si>
    <t>CRPG5</t>
  </si>
  <si>
    <t>CRISTAL PNA</t>
  </si>
  <si>
    <t>CRPG6</t>
  </si>
  <si>
    <t>CRISTAL PNB</t>
  </si>
  <si>
    <t>CSAB3</t>
  </si>
  <si>
    <t>COMPANHIA DE SEGUROS ALIANÇA DA BAHIA ON</t>
  </si>
  <si>
    <t>CSAB4</t>
  </si>
  <si>
    <t>COMPANHIA DE SEGUROS ALIANÇA DA BAHIA PN</t>
  </si>
  <si>
    <t>COSAN SA INDUSTRIA E COMERCIO ON</t>
  </si>
  <si>
    <t>CSMG3</t>
  </si>
  <si>
    <t>SANEAMENTOS</t>
  </si>
  <si>
    <t>COPASA MG ON</t>
  </si>
  <si>
    <t>CSNA3</t>
  </si>
  <si>
    <t>SIDERURGIA</t>
  </si>
  <si>
    <t>CSN ON</t>
  </si>
  <si>
    <t>CSRN3</t>
  </si>
  <si>
    <t>COSERN ON</t>
  </si>
  <si>
    <t>CSRN5</t>
  </si>
  <si>
    <t>COSERN PNA</t>
  </si>
  <si>
    <t>CSRN6</t>
  </si>
  <si>
    <t>COSERN PNB</t>
  </si>
  <si>
    <t>CTKA3</t>
  </si>
  <si>
    <t>KARSTEN ON</t>
  </si>
  <si>
    <t>CTKA4</t>
  </si>
  <si>
    <t>KARSTEN PN</t>
  </si>
  <si>
    <t>CTNM3</t>
  </si>
  <si>
    <t>COTEMINAS ON</t>
  </si>
  <si>
    <t>CTNM4</t>
  </si>
  <si>
    <t>COTEMINAS PN</t>
  </si>
  <si>
    <t>CTSA3</t>
  </si>
  <si>
    <t>SANTANENSE ON</t>
  </si>
  <si>
    <t>CTSA4</t>
  </si>
  <si>
    <t>SANTANENSE PN</t>
  </si>
  <si>
    <t>CVCB3</t>
  </si>
  <si>
    <t>CVC BRASIL ON NM</t>
  </si>
  <si>
    <t>CYRELA BRAZIL REALTY PN</t>
  </si>
  <si>
    <t>DASA3</t>
  </si>
  <si>
    <t>DIAGNOSTICOS DA AMERICA SA ON</t>
  </si>
  <si>
    <t>DIRR3</t>
  </si>
  <si>
    <t>Direcional Engenharia ON NM</t>
  </si>
  <si>
    <t>DMMO3</t>
  </si>
  <si>
    <t>DOMMO ON</t>
  </si>
  <si>
    <t>DOHL4</t>
  </si>
  <si>
    <t>DOHLER PN</t>
  </si>
  <si>
    <t>DTCY3</t>
  </si>
  <si>
    <t>DTCOM ON</t>
  </si>
  <si>
    <t>DTEX3</t>
  </si>
  <si>
    <t>MADEIRA E PAPEL</t>
  </si>
  <si>
    <t>DURATEX ON NM</t>
  </si>
  <si>
    <t>EALT3</t>
  </si>
  <si>
    <t>ELECTRO AÇO ALTONA S/A ON</t>
  </si>
  <si>
    <t>EALT4</t>
  </si>
  <si>
    <t>ELECTRO AÇO ALTONA S/A PN</t>
  </si>
  <si>
    <t>ECOR3</t>
  </si>
  <si>
    <t>ECORODOVIAS ON NM</t>
  </si>
  <si>
    <t>ECPR3</t>
  </si>
  <si>
    <t>ENCORPAR ON</t>
  </si>
  <si>
    <t>EGIE3</t>
  </si>
  <si>
    <t>ENGIE BRASIL ON</t>
  </si>
  <si>
    <t>EKTR4</t>
  </si>
  <si>
    <t>ELEKTRO ELETRICIDADE E SERVIÇOS S.A. PN</t>
  </si>
  <si>
    <t>ELEK3</t>
  </si>
  <si>
    <t>ELEKEIROZ S/A ON</t>
  </si>
  <si>
    <t>ELEK4</t>
  </si>
  <si>
    <t>ELEKEIROZ S/A PN</t>
  </si>
  <si>
    <t>ELET3</t>
  </si>
  <si>
    <t>ELETROBRÁS ON</t>
  </si>
  <si>
    <t>ELET5</t>
  </si>
  <si>
    <t>ELETROBRÁS PNA</t>
  </si>
  <si>
    <t>ELET6</t>
  </si>
  <si>
    <t>ELETROBRÁS PNB</t>
  </si>
  <si>
    <t>ELPL3</t>
  </si>
  <si>
    <t>AES ELETROPAULO ON</t>
  </si>
  <si>
    <t>EMAE4</t>
  </si>
  <si>
    <t>EMAE PN</t>
  </si>
  <si>
    <t>MATERIAL DE TRANSPORTE</t>
  </si>
  <si>
    <t>EMBRAER ON</t>
  </si>
  <si>
    <t>ENAT3</t>
  </si>
  <si>
    <t>ENAUTA PART ON</t>
  </si>
  <si>
    <t>ENBR3</t>
  </si>
  <si>
    <t>EDP ENERGIAS DO BRASIL S/A ON</t>
  </si>
  <si>
    <t>ENEV3</t>
  </si>
  <si>
    <t>ENEVA ON</t>
  </si>
  <si>
    <t>ENGI11</t>
  </si>
  <si>
    <t>ENERGISA UNT N2</t>
  </si>
  <si>
    <t>ENGI3</t>
  </si>
  <si>
    <t>ENERGISA ON</t>
  </si>
  <si>
    <t>ENGI4</t>
  </si>
  <si>
    <t>ENERGISA PN</t>
  </si>
  <si>
    <t>ENMT3</t>
  </si>
  <si>
    <t>ENERGISA MT ON</t>
  </si>
  <si>
    <t>ENMT4</t>
  </si>
  <si>
    <t>EQTL3</t>
  </si>
  <si>
    <t>EQUATORIAL ENERGIA S.A. ON NM</t>
  </si>
  <si>
    <t>ESTR4</t>
  </si>
  <si>
    <t>ESTRELA PN</t>
  </si>
  <si>
    <t>ETERNIT ON</t>
  </si>
  <si>
    <t>EUCA3</t>
  </si>
  <si>
    <t>EUCATEX ON</t>
  </si>
  <si>
    <t>EUCA4</t>
  </si>
  <si>
    <t>EUCATEX PN</t>
  </si>
  <si>
    <t>Even ON NM</t>
  </si>
  <si>
    <t>EZTec ON NM</t>
  </si>
  <si>
    <t>FESA3</t>
  </si>
  <si>
    <t>FERBASA ON</t>
  </si>
  <si>
    <t>FESA4</t>
  </si>
  <si>
    <t>FERBASA PN</t>
  </si>
  <si>
    <t>FHER3</t>
  </si>
  <si>
    <t>Fer Heringer ON NM</t>
  </si>
  <si>
    <t>FLEURY ON NM</t>
  </si>
  <si>
    <t>FRAS3</t>
  </si>
  <si>
    <t>FRAS-LE S.A. ON</t>
  </si>
  <si>
    <t>FRTA3</t>
  </si>
  <si>
    <t>AGROPECUÁRIA</t>
  </si>
  <si>
    <t>POMIFRUTAS ON NM</t>
  </si>
  <si>
    <t>GBIO33</t>
  </si>
  <si>
    <t>BIOTOSCANA DR3</t>
  </si>
  <si>
    <t>GEPA3</t>
  </si>
  <si>
    <t>DUKE ENERGY INT,GERAÇÃO PARANAPANEMA SA ON</t>
  </si>
  <si>
    <t>GEPA4</t>
  </si>
  <si>
    <t>DUKE ENERGY INT,GERAÇÃO PARANAPANEMA SA PN</t>
  </si>
  <si>
    <t>GFSA3</t>
  </si>
  <si>
    <t>GAFISA ON</t>
  </si>
  <si>
    <t>GGBR3</t>
  </si>
  <si>
    <t>GERDAU S.A. ON N1</t>
  </si>
  <si>
    <t>GGBR4</t>
  </si>
  <si>
    <t>GERDAU S.A. PN N1</t>
  </si>
  <si>
    <t>GNDI3</t>
  </si>
  <si>
    <t>INTERMEDICA ON NM</t>
  </si>
  <si>
    <t>GOAU3</t>
  </si>
  <si>
    <t>METALÚRGICA GERDAU ON N1</t>
  </si>
  <si>
    <t>GOAU4</t>
  </si>
  <si>
    <t>METALÚRGICA GERDAU PN N1</t>
  </si>
  <si>
    <t>GOLL4</t>
  </si>
  <si>
    <t>GOL LINHAS AEREAS INTELIGENTES SA PN</t>
  </si>
  <si>
    <t>GPCP3</t>
  </si>
  <si>
    <t>GPC PARTICIPACOES SA ON</t>
  </si>
  <si>
    <t>GPIV33</t>
  </si>
  <si>
    <t>GP INVESTMENTS, LTD DR3</t>
  </si>
  <si>
    <t>GRENDENE SA ON</t>
  </si>
  <si>
    <t>GSHP3</t>
  </si>
  <si>
    <t>Generalshopp ON NM</t>
  </si>
  <si>
    <t>GUAR3</t>
  </si>
  <si>
    <t>GUARARAPES CONFECÇÕES ON</t>
  </si>
  <si>
    <t>HAGA3</t>
  </si>
  <si>
    <t>HAGA ON</t>
  </si>
  <si>
    <t>HAGA4</t>
  </si>
  <si>
    <t>HAPV3</t>
  </si>
  <si>
    <t>HAPVIDA ON NM</t>
  </si>
  <si>
    <t>HBOR3</t>
  </si>
  <si>
    <t>Helbor ON</t>
  </si>
  <si>
    <t>HBTS5</t>
  </si>
  <si>
    <t>CIA HABITASUL PNA</t>
  </si>
  <si>
    <t>HETA4</t>
  </si>
  <si>
    <t>UTILIDADES DOMÉSTICAS</t>
  </si>
  <si>
    <t>HERCULES S/A PN</t>
  </si>
  <si>
    <t>HGTX3</t>
  </si>
  <si>
    <t>CIA HERING ON N1</t>
  </si>
  <si>
    <t>HOOT4</t>
  </si>
  <si>
    <t>HOTEIS OTHON S.A. PN</t>
  </si>
  <si>
    <t>HYPE3</t>
  </si>
  <si>
    <t>HYPERA ON</t>
  </si>
  <si>
    <t>IDNT3</t>
  </si>
  <si>
    <t>PROGRAMAS E SERVIÇOS</t>
  </si>
  <si>
    <t>IDEIASNET ON</t>
  </si>
  <si>
    <t>IDVL3</t>
  </si>
  <si>
    <t>Indusval ON N1</t>
  </si>
  <si>
    <t>IDVL4</t>
  </si>
  <si>
    <t>Indusval PN N1</t>
  </si>
  <si>
    <t>IGBR3</t>
  </si>
  <si>
    <t>GRADIENTE ON</t>
  </si>
  <si>
    <t>IGTA3</t>
  </si>
  <si>
    <t>IGUATEMI ON NM</t>
  </si>
  <si>
    <t>INEP3</t>
  </si>
  <si>
    <t>INEPAR S/A ON</t>
  </si>
  <si>
    <t>INEP4</t>
  </si>
  <si>
    <t>INEPAR S/A PN</t>
  </si>
  <si>
    <t>IRBR3</t>
  </si>
  <si>
    <t>IRBBRASIL RE ON NM</t>
  </si>
  <si>
    <t>ITSA3</t>
  </si>
  <si>
    <t>ITAÚSA ON N1</t>
  </si>
  <si>
    <t>ITAÚSA PN N1</t>
  </si>
  <si>
    <t>ITUB3</t>
  </si>
  <si>
    <t>ITAUUNIBANCO ON N1</t>
  </si>
  <si>
    <t>ITUB4</t>
  </si>
  <si>
    <t>ITAUUNIBANCO PN N1</t>
  </si>
  <si>
    <t>JBDU3</t>
  </si>
  <si>
    <t>J B DUARTE ON</t>
  </si>
  <si>
    <t>JBDU4</t>
  </si>
  <si>
    <t>J B DUARTE PN</t>
  </si>
  <si>
    <t>JBSS3</t>
  </si>
  <si>
    <t>JBS ON NM</t>
  </si>
  <si>
    <t>JFEN3</t>
  </si>
  <si>
    <t>JOÃO FORTES ENGENHARIA S.A. ON</t>
  </si>
  <si>
    <t>JHSF Part ON NM</t>
  </si>
  <si>
    <t>JOPA3</t>
  </si>
  <si>
    <t>JOSAPAR S/A ON</t>
  </si>
  <si>
    <t>JOPA4</t>
  </si>
  <si>
    <t>JOSAPAR S/A PN</t>
  </si>
  <si>
    <t>JPSA3</t>
  </si>
  <si>
    <t>TELEFONIA FIXA</t>
  </si>
  <si>
    <t>JEREISSATI PARTICIPACOES ON</t>
  </si>
  <si>
    <t>JULIO SIMOES ON NM</t>
  </si>
  <si>
    <t>KEPL3</t>
  </si>
  <si>
    <t>KEPLER WEBER SA ON</t>
  </si>
  <si>
    <t>KLBN11</t>
  </si>
  <si>
    <t>KLABIN UNT N2</t>
  </si>
  <si>
    <t>KLABIN ON N2</t>
  </si>
  <si>
    <t>KLBN4</t>
  </si>
  <si>
    <t>KLABIN PN N2</t>
  </si>
  <si>
    <t>LAME3</t>
  </si>
  <si>
    <t>LOJAS AMERICANAS S.A. ON</t>
  </si>
  <si>
    <t>LAME4</t>
  </si>
  <si>
    <t>LOJAS AMERICANAS S.A. PN</t>
  </si>
  <si>
    <t>LCAM3</t>
  </si>
  <si>
    <t>DIVERSOS</t>
  </si>
  <si>
    <t>LOCAMERICA ON NM</t>
  </si>
  <si>
    <t>MAHLE METAL LEVE ON</t>
  </si>
  <si>
    <t>LIGT3</t>
  </si>
  <si>
    <t>LIGHT SA ON</t>
  </si>
  <si>
    <t>LINX3</t>
  </si>
  <si>
    <t>LINX ON NM</t>
  </si>
  <si>
    <t>LIPR3</t>
  </si>
  <si>
    <t>LIGHTPAR ON</t>
  </si>
  <si>
    <t>LIQO3</t>
  </si>
  <si>
    <t>LIQ ON NM</t>
  </si>
  <si>
    <t>LLIS3</t>
  </si>
  <si>
    <t>LE LIS BLANC DEUX ON</t>
  </si>
  <si>
    <t>LOGG3</t>
  </si>
  <si>
    <t>LOG COM PROP ON NM</t>
  </si>
  <si>
    <t>LOGN3</t>
  </si>
  <si>
    <t>Log-In ON NM</t>
  </si>
  <si>
    <t>LPSB3</t>
  </si>
  <si>
    <t>LOPES BRASIL ON NM</t>
  </si>
  <si>
    <t>LREN3</t>
  </si>
  <si>
    <t>RENNER ON</t>
  </si>
  <si>
    <t>LUPATECH ON NM</t>
  </si>
  <si>
    <t>LUXM4</t>
  </si>
  <si>
    <t>TREVISA INVESTIMENTOS SA PN</t>
  </si>
  <si>
    <t>MDIA3</t>
  </si>
  <si>
    <t>M.DIASBRANCO ON NM</t>
  </si>
  <si>
    <t>MEAL3</t>
  </si>
  <si>
    <t>IMC S/A ON NM</t>
  </si>
  <si>
    <t>MEND5</t>
  </si>
  <si>
    <t>MENDES JUNIOR ENGENHARIA S/A PNA</t>
  </si>
  <si>
    <t>MEND6</t>
  </si>
  <si>
    <t>MENDES JUNIOR ENGENHARIA S/A PNB</t>
  </si>
  <si>
    <t>MERC4</t>
  </si>
  <si>
    <t>MERCANTIL BRASIL PN</t>
  </si>
  <si>
    <t>MGEL4</t>
  </si>
  <si>
    <t>MANGELS PN N1</t>
  </si>
  <si>
    <t>MAGAZ LUIZA ON NM</t>
  </si>
  <si>
    <t>MILS3</t>
  </si>
  <si>
    <t>MILLS ON NM</t>
  </si>
  <si>
    <t>MMXM3</t>
  </si>
  <si>
    <t>MMX MINER ON NM</t>
  </si>
  <si>
    <t>MNDL3</t>
  </si>
  <si>
    <t>MUNDIAL S/A ON</t>
  </si>
  <si>
    <t>MNPR3</t>
  </si>
  <si>
    <t>MINUPAR ON</t>
  </si>
  <si>
    <t>MOAR3</t>
  </si>
  <si>
    <t>MONTEIRO ARANHA ON</t>
  </si>
  <si>
    <t>MOVIDA ON NM</t>
  </si>
  <si>
    <t>Marfrig ON NM</t>
  </si>
  <si>
    <t>MRVE3</t>
  </si>
  <si>
    <t>MRV ON NM</t>
  </si>
  <si>
    <t>MSPA3</t>
  </si>
  <si>
    <t>MELHORAMENTOS ON</t>
  </si>
  <si>
    <t>MTSA4</t>
  </si>
  <si>
    <t>METISA PN</t>
  </si>
  <si>
    <t>MULT3</t>
  </si>
  <si>
    <t>Multiplan ON N2</t>
  </si>
  <si>
    <t>MWET4</t>
  </si>
  <si>
    <t>WETZEL S.A. PN</t>
  </si>
  <si>
    <t>IOCHPE-MAXION ON</t>
  </si>
  <si>
    <t>NAFG3</t>
  </si>
  <si>
    <t>NADIR FIGUEIREDO ON</t>
  </si>
  <si>
    <t>NAFG4</t>
  </si>
  <si>
    <t>NADIR FIGUEIREDO PN</t>
  </si>
  <si>
    <t>NEOE3</t>
  </si>
  <si>
    <t>NEOENERGIA ON NM</t>
  </si>
  <si>
    <t>NORD3</t>
  </si>
  <si>
    <t>NORDON INDS METALURGICAS SA ON</t>
  </si>
  <si>
    <t>NTCO3</t>
  </si>
  <si>
    <t>GRUPO NATURA ON NM</t>
  </si>
  <si>
    <t>NUTR3</t>
  </si>
  <si>
    <t>NUTRIPLANT ON</t>
  </si>
  <si>
    <t>ODPV3</t>
  </si>
  <si>
    <t>ODONTOPREV ON NM</t>
  </si>
  <si>
    <t>OFSA3</t>
  </si>
  <si>
    <t>OUROFINO S/A ON NM</t>
  </si>
  <si>
    <t>OI ON N1</t>
  </si>
  <si>
    <t>OIBR4</t>
  </si>
  <si>
    <t>OMGE3</t>
  </si>
  <si>
    <t>OMEGA GER ON NM</t>
  </si>
  <si>
    <t>OSXB3</t>
  </si>
  <si>
    <t>OSX BRASIL ON NM</t>
  </si>
  <si>
    <t>PARD3</t>
  </si>
  <si>
    <t>IHPARDINI ON NM</t>
  </si>
  <si>
    <t>PATI3</t>
  </si>
  <si>
    <t>PANATLANTICA ON</t>
  </si>
  <si>
    <t>PATI4</t>
  </si>
  <si>
    <t>PANATLANTICA PN</t>
  </si>
  <si>
    <t>PCAR3</t>
  </si>
  <si>
    <t>PÃO DE AÇÚCAR ON</t>
  </si>
  <si>
    <t>PDGR3</t>
  </si>
  <si>
    <t>PDG REALT ON NM</t>
  </si>
  <si>
    <t>PEAB3</t>
  </si>
  <si>
    <t>CIA. DE PARTICIPAÇÕES ALIANÇA DA BAHIA ON</t>
  </si>
  <si>
    <t>PEAB4</t>
  </si>
  <si>
    <t>CIA. DE PARTICIPAÇÕES ALIANÇA DA BAHIA PN</t>
  </si>
  <si>
    <t>PETR3</t>
  </si>
  <si>
    <t>PETROBRAS ON</t>
  </si>
  <si>
    <t>PFRM3</t>
  </si>
  <si>
    <t>PROFARMA ON NM</t>
  </si>
  <si>
    <t>PINE4</t>
  </si>
  <si>
    <t>Pine PN</t>
  </si>
  <si>
    <t>PLAS3</t>
  </si>
  <si>
    <t>PLASCAR PARTICIPAÇÕES INDUSTRIAIS S.A ON</t>
  </si>
  <si>
    <t>PMAM3</t>
  </si>
  <si>
    <t>PARANAPANEMA S.A. ON</t>
  </si>
  <si>
    <t>PNVL3</t>
  </si>
  <si>
    <t>PANVEL FARMÁCIAS ON</t>
  </si>
  <si>
    <t>PNVL4</t>
  </si>
  <si>
    <t>PANVEL FARMÁCIAS PN</t>
  </si>
  <si>
    <t>POMO3</t>
  </si>
  <si>
    <t>MARCOPOLO ON</t>
  </si>
  <si>
    <t>POMO4</t>
  </si>
  <si>
    <t>MARCOPOLO PN</t>
  </si>
  <si>
    <t>POSI3</t>
  </si>
  <si>
    <t>POSITIVO INF ON NM</t>
  </si>
  <si>
    <t>PRIO3</t>
  </si>
  <si>
    <t>PETRORIO ON</t>
  </si>
  <si>
    <t>PSSA3</t>
  </si>
  <si>
    <t>PORTO SEGURO SA ON</t>
  </si>
  <si>
    <t>PTBL3</t>
  </si>
  <si>
    <t>PORTOBELLO S/A ON</t>
  </si>
  <si>
    <t>PTNT4</t>
  </si>
  <si>
    <t>PETTENATI PN</t>
  </si>
  <si>
    <t>QUAL3</t>
  </si>
  <si>
    <t>QUALICORP ON NM</t>
  </si>
  <si>
    <t>RADL3</t>
  </si>
  <si>
    <t>RAIADROGASIL ON</t>
  </si>
  <si>
    <t>RAIL3</t>
  </si>
  <si>
    <t>ALL - AMÉRICA LATINA LOGÍSTICA S/A ON NM</t>
  </si>
  <si>
    <t>RANI3</t>
  </si>
  <si>
    <t>CELULOSE IRANI ON</t>
  </si>
  <si>
    <t>RANI4</t>
  </si>
  <si>
    <t>CELULOSE IRANI PN</t>
  </si>
  <si>
    <t>RAPT3</t>
  </si>
  <si>
    <t>RANDON S.A. IMPLEMENTOS E PARTICIPAÇÕES ON N1</t>
  </si>
  <si>
    <t>RAPT4</t>
  </si>
  <si>
    <t>RANDON S.A. IMPLEMENTOS E PARTICIPAÇÕES PN N1</t>
  </si>
  <si>
    <t>RCSL4</t>
  </si>
  <si>
    <t>RECRUSUL PN</t>
  </si>
  <si>
    <t>RDNI3</t>
  </si>
  <si>
    <t>RODOBENSIMOB ON NM</t>
  </si>
  <si>
    <t>REDE3</t>
  </si>
  <si>
    <t>REDE EMPRESAS DE ENERGIA ELÉTRICA S.A. ON</t>
  </si>
  <si>
    <t>LOCALIZA RENT A CAR ON</t>
  </si>
  <si>
    <t>RLOG3</t>
  </si>
  <si>
    <t>COSAN LOG ON NM</t>
  </si>
  <si>
    <t>RNEW11</t>
  </si>
  <si>
    <t>RENOVA UNT N2</t>
  </si>
  <si>
    <t>RNEW3</t>
  </si>
  <si>
    <t>RENOVA ON N2</t>
  </si>
  <si>
    <t>RNEW4</t>
  </si>
  <si>
    <t>RENOVA PN N2</t>
  </si>
  <si>
    <t>ROMI3</t>
  </si>
  <si>
    <t>ROMI ON</t>
  </si>
  <si>
    <t>RPAD3</t>
  </si>
  <si>
    <t>ALFA HOLDINGS ON</t>
  </si>
  <si>
    <t>RPAD5</t>
  </si>
  <si>
    <t>ALFA HOLDINGS PNA</t>
  </si>
  <si>
    <t>RPAD6</t>
  </si>
  <si>
    <t>ALFA HOLDINGS PNB</t>
  </si>
  <si>
    <t>RPMG3</t>
  </si>
  <si>
    <t>REFINARIA DE PET DE MAN S.A ON</t>
  </si>
  <si>
    <t>RSID3</t>
  </si>
  <si>
    <t>ROSSI RESIDENCIAL ON N1</t>
  </si>
  <si>
    <t>RSUL4</t>
  </si>
  <si>
    <t>METALURGICA RIOSULENSE S/A PN</t>
  </si>
  <si>
    <t>SANB11</t>
  </si>
  <si>
    <t>SANTANDER UNT</t>
  </si>
  <si>
    <t>SANB3</t>
  </si>
  <si>
    <t>SANTANDER ON</t>
  </si>
  <si>
    <t>SANB4</t>
  </si>
  <si>
    <t>SANTANDER PN</t>
  </si>
  <si>
    <t>SAPR11</t>
  </si>
  <si>
    <t>SANEPAR UNT N2</t>
  </si>
  <si>
    <t>SAPR3</t>
  </si>
  <si>
    <t>SANEPAR ON</t>
  </si>
  <si>
    <t>SAPR4</t>
  </si>
  <si>
    <t>SANEPAR PN</t>
  </si>
  <si>
    <t>SBSP3</t>
  </si>
  <si>
    <t>SABESP ON NM</t>
  </si>
  <si>
    <t>SCAR3</t>
  </si>
  <si>
    <t>SÃO CARLOS EMPREEND.E PARTICIPAÇÕES S.A. ON</t>
  </si>
  <si>
    <t>SEER3</t>
  </si>
  <si>
    <t>SER EDUCA ON NM</t>
  </si>
  <si>
    <t>SGPS3</t>
  </si>
  <si>
    <t>Springs ON NM</t>
  </si>
  <si>
    <t>SHOW3</t>
  </si>
  <si>
    <t>TIME FOR FUN ON NM</t>
  </si>
  <si>
    <t>SCHULZ PN</t>
  </si>
  <si>
    <t>SLCE3</t>
  </si>
  <si>
    <t>SLC Agricola ON NM</t>
  </si>
  <si>
    <t>SMLS3</t>
  </si>
  <si>
    <t>SMILES ON NM</t>
  </si>
  <si>
    <t>SMTO3</t>
  </si>
  <si>
    <t>SAO MARTINHO ON NM</t>
  </si>
  <si>
    <t>SOND3</t>
  </si>
  <si>
    <t>SONDOTECNICA S/A. ON</t>
  </si>
  <si>
    <t>SOND5</t>
  </si>
  <si>
    <t>SONDOTECNICA S/A. PNA</t>
  </si>
  <si>
    <t>SOND6</t>
  </si>
  <si>
    <t>SONDOTECNICA S/A. PNB</t>
  </si>
  <si>
    <t>SPRI3</t>
  </si>
  <si>
    <t>SPRINGER ON</t>
  </si>
  <si>
    <t>SPRI5</t>
  </si>
  <si>
    <t>SPRINGER PNA</t>
  </si>
  <si>
    <t>SPRI6</t>
  </si>
  <si>
    <t>SPRINGER PNB</t>
  </si>
  <si>
    <t>SINQIA ON</t>
  </si>
  <si>
    <t>STBP3</t>
  </si>
  <si>
    <t>SBPAR ON NM</t>
  </si>
  <si>
    <t>SULA11</t>
  </si>
  <si>
    <t>Sul America UNT N2</t>
  </si>
  <si>
    <t>SULA3</t>
  </si>
  <si>
    <t>Sul America ON N2</t>
  </si>
  <si>
    <t>SULA4</t>
  </si>
  <si>
    <t>Sul America PN N2</t>
  </si>
  <si>
    <t>Suzano Papel ON</t>
  </si>
  <si>
    <t>TAESA UNT</t>
  </si>
  <si>
    <t>TAEE3</t>
  </si>
  <si>
    <t>TAESA ON N2</t>
  </si>
  <si>
    <t>TAEE4</t>
  </si>
  <si>
    <t>TAESA PN N2</t>
  </si>
  <si>
    <t>TASA3</t>
  </si>
  <si>
    <t>TAURUS ARMAS ON</t>
  </si>
  <si>
    <t>TASA4</t>
  </si>
  <si>
    <t>TAURUS ARMAS PN</t>
  </si>
  <si>
    <t>TCNO3</t>
  </si>
  <si>
    <t>TECNOSOLO S/A ON</t>
  </si>
  <si>
    <t>TCNO4</t>
  </si>
  <si>
    <t>TECNOSOLO S/A PN</t>
  </si>
  <si>
    <t>TCSA3</t>
  </si>
  <si>
    <t>TECNISA ON NM</t>
  </si>
  <si>
    <t>TECN3</t>
  </si>
  <si>
    <t>TECHNOS ON NM</t>
  </si>
  <si>
    <t>TEKA3</t>
  </si>
  <si>
    <t>TEKA S.A. ON</t>
  </si>
  <si>
    <t>TEKA4</t>
  </si>
  <si>
    <t>TEKA S.A. PN</t>
  </si>
  <si>
    <t>TEND3</t>
  </si>
  <si>
    <t>Tenda ON NM</t>
  </si>
  <si>
    <t>TESA3</t>
  </si>
  <si>
    <t>TERRA SANTA ON NM</t>
  </si>
  <si>
    <t>TGMA3</t>
  </si>
  <si>
    <t>Tegma ON NM</t>
  </si>
  <si>
    <t>AES TIETE E UNT N2</t>
  </si>
  <si>
    <t>AES TIETE E ON N2</t>
  </si>
  <si>
    <t>TIET3</t>
  </si>
  <si>
    <t>TIET4</t>
  </si>
  <si>
    <t>AES TIETE E PN N2</t>
  </si>
  <si>
    <t>TIMP3</t>
  </si>
  <si>
    <t>TIM PARTICIPAÇÕES S.A. ON</t>
  </si>
  <si>
    <t>TKNO4</t>
  </si>
  <si>
    <t>TEKNO PN</t>
  </si>
  <si>
    <t>TOTVS ON NM</t>
  </si>
  <si>
    <t>TPIS3</t>
  </si>
  <si>
    <t>TRIUNFO PARTICIPACOES SA ON NM</t>
  </si>
  <si>
    <t>TRIS3</t>
  </si>
  <si>
    <t>Trisul ON NM</t>
  </si>
  <si>
    <t>TRPL3</t>
  </si>
  <si>
    <t>TRANSMISSÃO PAULISTA ON N1</t>
  </si>
  <si>
    <t>TRPL4</t>
  </si>
  <si>
    <t>TRANSMISSÃO PAULISTA PN N1</t>
  </si>
  <si>
    <t>TUPY ON</t>
  </si>
  <si>
    <t>TXRX4</t>
  </si>
  <si>
    <t>RENAUX PN</t>
  </si>
  <si>
    <t>UGPA3</t>
  </si>
  <si>
    <t>ULTRAPAR PARTICIPAÇÕES SA ON</t>
  </si>
  <si>
    <t>UNIPAR PARTICIPAÇÕES S.A. ON</t>
  </si>
  <si>
    <t>UNIP5</t>
  </si>
  <si>
    <t>UNIPAR PARTICIPAÇÕES S.A. PNA</t>
  </si>
  <si>
    <t>UNIP6</t>
  </si>
  <si>
    <t>UNIPAR PARTICIPAÇÕES S.A. PNB</t>
  </si>
  <si>
    <t>USIM3</t>
  </si>
  <si>
    <t>USIMINAS ON N1</t>
  </si>
  <si>
    <t>USIM5</t>
  </si>
  <si>
    <t>USIMINAS PNA N1</t>
  </si>
  <si>
    <t>USIM6</t>
  </si>
  <si>
    <t>USIMINAS PNB N1</t>
  </si>
  <si>
    <t>VALE3</t>
  </si>
  <si>
    <t>VALE ON NM</t>
  </si>
  <si>
    <t>VIVA3</t>
  </si>
  <si>
    <t>VIVARA S.A. ON NM</t>
  </si>
  <si>
    <t>VIVR3</t>
  </si>
  <si>
    <t>VIVER ON NM</t>
  </si>
  <si>
    <t>VIVT3</t>
  </si>
  <si>
    <t>TELEF BRASIL ON</t>
  </si>
  <si>
    <t>VIVT4</t>
  </si>
  <si>
    <t>TELEF BRASIL PN</t>
  </si>
  <si>
    <t>VLID3</t>
  </si>
  <si>
    <t>VALID ON NM</t>
  </si>
  <si>
    <t>VULC3</t>
  </si>
  <si>
    <t>VULCABRAS S/A. ON</t>
  </si>
  <si>
    <t>VVAR3</t>
  </si>
  <si>
    <t>VIAVAREJO ON</t>
  </si>
  <si>
    <t>WEG SA ON N1</t>
  </si>
  <si>
    <t>WHRL3</t>
  </si>
  <si>
    <t>WHIRLPOOL S.A. ON</t>
  </si>
  <si>
    <t>WHRL4</t>
  </si>
  <si>
    <t>WHIRLPOOL S.A. PN</t>
  </si>
  <si>
    <t>WIZS3</t>
  </si>
  <si>
    <t>WIZ S.A. ON NM</t>
  </si>
  <si>
    <t>WSON33</t>
  </si>
  <si>
    <t>Wilson Sons DR3</t>
  </si>
  <si>
    <t>YDUQ3</t>
  </si>
  <si>
    <t>YDUQS PART ON</t>
  </si>
  <si>
    <t>SUAS AÇÕES</t>
  </si>
  <si>
    <t>DETALHES DO ATIVO</t>
  </si>
  <si>
    <t>MINHAS EMPRESAS</t>
  </si>
  <si>
    <t>1.</t>
  </si>
  <si>
    <t>2.</t>
  </si>
  <si>
    <t>3.</t>
  </si>
  <si>
    <t>4.</t>
  </si>
  <si>
    <t>5.</t>
  </si>
  <si>
    <t>6.</t>
  </si>
  <si>
    <t>7.</t>
  </si>
  <si>
    <t>8.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</si>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</sst>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venir Next LT Pro"/>
      <family val="2"/>
    </font>
    <font>
      <sz val="11"/>
      <color theme="1"/>
      <name val="Avenir Next LT Pro"/>
      <family val="2"/>
    </font>
    <font>
      <b/>
      <sz val="14"/>
      <color theme="0"/>
      <name val="Avenir Next LT Pro"/>
      <family val="2"/>
    </font>
    <font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sz val="14"/>
      <color theme="3" tint="-0.249977111117893"/>
      <name val="Avenir Next LT Pro"/>
      <family val="2"/>
    </font>
    <font>
      <b/>
      <sz val="18"/>
      <color theme="0"/>
      <name val="Avenir Next LT Pro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3" fillId="3" borderId="0" xfId="0" applyFon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0" xfId="0" applyFont="1" applyFill="1"/>
    <xf numFmtId="0" fontId="6" fillId="6" borderId="0" xfId="0" applyFont="1" applyFill="1"/>
    <xf numFmtId="0" fontId="7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0" borderId="0" xfId="0" applyFont="1"/>
    <xf numFmtId="0" fontId="12" fillId="0" borderId="2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0" fontId="0" fillId="0" borderId="2" xfId="0" applyFont="1" applyBorder="1"/>
    <xf numFmtId="0" fontId="0" fillId="0" borderId="2" xfId="0" applyFont="1" applyBorder="1" applyAlignment="1">
      <alignment horizontal="center"/>
    </xf>
    <xf numFmtId="3" fontId="0" fillId="0" borderId="2" xfId="0" applyNumberFormat="1" applyFont="1" applyBorder="1"/>
    <xf numFmtId="0" fontId="4" fillId="4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" fillId="4" borderId="0" xfId="0" applyFont="1" applyFill="1" applyAlignment="1" applyProtection="1">
      <alignment horizontal="center"/>
    </xf>
    <xf numFmtId="4" fontId="4" fillId="4" borderId="0" xfId="0" applyNumberFormat="1" applyFont="1" applyFill="1" applyAlignment="1" applyProtection="1">
      <alignment horizontal="center"/>
    </xf>
    <xf numFmtId="164" fontId="4" fillId="4" borderId="0" xfId="1" applyNumberFormat="1" applyFont="1" applyFill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8" fillId="0" borderId="1" xfId="0" applyFont="1" applyBorder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80582</xdr:colOff>
      <xdr:row>1</xdr:row>
      <xdr:rowOff>55217</xdr:rowOff>
    </xdr:from>
    <xdr:to>
      <xdr:col>1</xdr:col>
      <xdr:colOff>623956</xdr:colOff>
      <xdr:row>1</xdr:row>
      <xdr:rowOff>525162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2104" y="55217"/>
          <a:ext cx="543374" cy="4699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50800</xdr:rowOff>
    </xdr:from>
    <xdr:to>
      <xdr:col>1</xdr:col>
      <xdr:colOff>359457</xdr:colOff>
      <xdr:row>1</xdr:row>
      <xdr:rowOff>312255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234950"/>
          <a:ext cx="302307" cy="26145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</xdr:row>
      <xdr:rowOff>57150</xdr:rowOff>
    </xdr:from>
    <xdr:to>
      <xdr:col>4</xdr:col>
      <xdr:colOff>359457</xdr:colOff>
      <xdr:row>1</xdr:row>
      <xdr:rowOff>318605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241300"/>
          <a:ext cx="302307" cy="261455"/>
        </a:xfrm>
        <a:prstGeom prst="rect">
          <a:avLst/>
        </a:prstGeom>
      </xdr:spPr>
    </xdr:pic>
    <xdr:clientData/>
  </xdr:twoCellAnchor>
  <xdr:twoCellAnchor>
    <xdr:from>
      <xdr:col>1</xdr:col>
      <xdr:colOff>2017805</xdr:colOff>
      <xdr:row>8</xdr:row>
      <xdr:rowOff>59764</xdr:rowOff>
    </xdr:from>
    <xdr:to>
      <xdr:col>3</xdr:col>
      <xdr:colOff>61258</xdr:colOff>
      <xdr:row>11</xdr:row>
      <xdr:rowOff>193114</xdr:rowOff>
    </xdr:to>
    <xdr:sp macro="[0]!Macro18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197099" y="1927411"/>
          <a:ext cx="2219512" cy="8281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ADICIONAR</a:t>
          </a:r>
          <a:r>
            <a:rPr lang="pt-BR" sz="1800" b="1" baseline="0"/>
            <a:t> SOCIEDADE</a:t>
          </a:r>
          <a:endParaRPr lang="pt-BR" sz="1800" b="1"/>
        </a:p>
      </xdr:txBody>
    </xdr:sp>
    <xdr:clientData/>
  </xdr:twoCellAnchor>
  <xdr:twoCellAnchor>
    <xdr:from>
      <xdr:col>9</xdr:col>
      <xdr:colOff>447675</xdr:colOff>
      <xdr:row>1</xdr:row>
      <xdr:rowOff>19050</xdr:rowOff>
    </xdr:from>
    <xdr:to>
      <xdr:col>12</xdr:col>
      <xdr:colOff>209550</xdr:colOff>
      <xdr:row>3</xdr:row>
      <xdr:rowOff>114300</xdr:rowOff>
    </xdr:to>
    <xdr:sp macro="[0]!LIMPEZA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496425" y="209550"/>
          <a:ext cx="1590675" cy="695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LIMPAR CARTEIRA</a:t>
          </a:r>
        </a:p>
      </xdr:txBody>
    </xdr:sp>
    <xdr:clientData/>
  </xdr:twoCellAnchor>
  <xdr:twoCellAnchor>
    <xdr:from>
      <xdr:col>1</xdr:col>
      <xdr:colOff>171823</xdr:colOff>
      <xdr:row>8</xdr:row>
      <xdr:rowOff>182283</xdr:rowOff>
    </xdr:from>
    <xdr:to>
      <xdr:col>1</xdr:col>
      <xdr:colOff>1822823</xdr:colOff>
      <xdr:row>11</xdr:row>
      <xdr:rowOff>127000</xdr:rowOff>
    </xdr:to>
    <xdr:sp macro="[0]!Macro2" textlink="">
      <xdr:nvSpPr>
        <xdr:cNvPr id="7" name="Elipse 6">
          <a:extLst>
            <a:ext uri="{FF2B5EF4-FFF2-40B4-BE49-F238E27FC236}">
              <a16:creationId xmlns:a16="http://schemas.microsoft.com/office/drawing/2014/main" id="{56CAAE5B-E8C3-460C-AA5D-BEED5FEFF03B}"/>
            </a:ext>
          </a:extLst>
        </xdr:cNvPr>
        <xdr:cNvSpPr/>
      </xdr:nvSpPr>
      <xdr:spPr>
        <a:xfrm>
          <a:off x="351117" y="2049930"/>
          <a:ext cx="1651000" cy="63948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ORDENAR CARTEIRA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E389"/>
  <sheetViews>
    <sheetView showGridLines="0" zoomScale="70" zoomScaleNormal="70" workbookViewId="0">
      <selection activeCell="D79" sqref="D79"/>
    </sheetView>
  </sheetViews>
  <sheetFormatPr defaultColWidth="8.54296875" defaultRowHeight="14.5" x14ac:dyDescent="0.35"/>
  <cols>
    <col min="1" max="1" width="10.54296875" customWidth="1"/>
    <col min="2" max="2" width="12.453125" style="9" customWidth="1"/>
    <col min="3" max="3" width="24.1796875" style="11" bestFit="1" customWidth="1"/>
    <col min="4" max="4" width="43.81640625" style="11" customWidth="1"/>
    <col min="5" max="5" width="16" style="11" customWidth="1"/>
  </cols>
  <sheetData>
    <row r="1" spans="2:5" ht="4.5" customHeight="1" x14ac:dyDescent="0.35"/>
    <row r="2" spans="2:5" ht="44.15" customHeight="1" x14ac:dyDescent="0.35">
      <c r="B2" s="22" t="s">
        <v>48</v>
      </c>
      <c r="C2" s="22"/>
      <c r="D2" s="22"/>
      <c r="E2" s="22"/>
    </row>
    <row r="3" spans="2:5" ht="29.15" customHeight="1" x14ac:dyDescent="0.35">
      <c r="B3" s="7" t="s">
        <v>0</v>
      </c>
      <c r="C3" s="7" t="s">
        <v>54</v>
      </c>
      <c r="D3" s="7" t="s">
        <v>2</v>
      </c>
      <c r="E3" s="12" t="s">
        <v>1</v>
      </c>
    </row>
    <row r="4" spans="2:5" ht="18.5" x14ac:dyDescent="0.45">
      <c r="B4" s="10" t="s">
        <v>55</v>
      </c>
      <c r="C4" s="13" t="s">
        <v>56</v>
      </c>
      <c r="D4" s="14" t="s">
        <v>57</v>
      </c>
      <c r="E4" s="15">
        <v>118293000</v>
      </c>
    </row>
    <row r="5" spans="2:5" ht="18.5" x14ac:dyDescent="0.45">
      <c r="B5" s="10" t="s">
        <v>31</v>
      </c>
      <c r="C5" s="13" t="s">
        <v>58</v>
      </c>
      <c r="D5" s="14" t="s">
        <v>59</v>
      </c>
      <c r="E5" s="15">
        <v>218359000</v>
      </c>
    </row>
    <row r="6" spans="2:5" ht="18.5" x14ac:dyDescent="0.45">
      <c r="B6" s="10" t="s">
        <v>17</v>
      </c>
      <c r="C6" s="13" t="s">
        <v>60</v>
      </c>
      <c r="D6" s="14" t="s">
        <v>61</v>
      </c>
      <c r="E6" s="15">
        <v>15735100000</v>
      </c>
    </row>
    <row r="7" spans="2:5" ht="18.5" x14ac:dyDescent="0.45">
      <c r="B7" s="10" t="s">
        <v>62</v>
      </c>
      <c r="C7" s="13" t="s">
        <v>63</v>
      </c>
      <c r="D7" s="14" t="s">
        <v>64</v>
      </c>
      <c r="E7" s="15">
        <v>7563000</v>
      </c>
    </row>
    <row r="8" spans="2:5" ht="18.5" x14ac:dyDescent="0.45">
      <c r="B8" s="10" t="s">
        <v>65</v>
      </c>
      <c r="C8" s="13" t="s">
        <v>66</v>
      </c>
      <c r="D8" s="14" t="s">
        <v>67</v>
      </c>
      <c r="E8" s="15">
        <v>63085000</v>
      </c>
    </row>
    <row r="9" spans="2:5" ht="18.5" x14ac:dyDescent="0.45">
      <c r="B9" s="10" t="s">
        <v>68</v>
      </c>
      <c r="C9" s="13" t="s">
        <v>69</v>
      </c>
      <c r="D9" s="14" t="s">
        <v>70</v>
      </c>
      <c r="E9" s="15">
        <v>62104300</v>
      </c>
    </row>
    <row r="10" spans="2:5" ht="18.5" x14ac:dyDescent="0.45">
      <c r="B10" s="10" t="s">
        <v>71</v>
      </c>
      <c r="C10" s="13" t="s">
        <v>69</v>
      </c>
      <c r="D10" s="14" t="s">
        <v>72</v>
      </c>
      <c r="E10" s="15">
        <v>8544000</v>
      </c>
    </row>
    <row r="11" spans="2:5" ht="18.5" x14ac:dyDescent="0.45">
      <c r="B11" s="10" t="s">
        <v>73</v>
      </c>
      <c r="C11" s="13" t="s">
        <v>74</v>
      </c>
      <c r="D11" s="14" t="s">
        <v>75</v>
      </c>
      <c r="E11" s="15">
        <v>588062000</v>
      </c>
    </row>
    <row r="12" spans="2:5" ht="18.5" x14ac:dyDescent="0.45">
      <c r="B12" s="10" t="s">
        <v>76</v>
      </c>
      <c r="C12" s="13" t="s">
        <v>74</v>
      </c>
      <c r="D12" s="14" t="s">
        <v>77</v>
      </c>
      <c r="E12" s="15">
        <v>588062000</v>
      </c>
    </row>
    <row r="13" spans="2:5" ht="18.5" x14ac:dyDescent="0.45">
      <c r="B13" s="10" t="s">
        <v>78</v>
      </c>
      <c r="C13" s="13" t="s">
        <v>69</v>
      </c>
      <c r="D13" s="14" t="s">
        <v>79</v>
      </c>
      <c r="E13" s="15">
        <v>265773000</v>
      </c>
    </row>
    <row r="14" spans="2:5" ht="18.5" x14ac:dyDescent="0.45">
      <c r="B14" s="10" t="s">
        <v>80</v>
      </c>
      <c r="C14" s="13" t="s">
        <v>66</v>
      </c>
      <c r="D14" s="14" t="s">
        <v>81</v>
      </c>
      <c r="E14" s="15">
        <v>879111000</v>
      </c>
    </row>
    <row r="15" spans="2:5" ht="18.5" x14ac:dyDescent="0.45">
      <c r="B15" s="10" t="s">
        <v>82</v>
      </c>
      <c r="C15" s="13" t="s">
        <v>66</v>
      </c>
      <c r="D15" s="14" t="s">
        <v>83</v>
      </c>
      <c r="E15" s="15">
        <v>879111000</v>
      </c>
    </row>
    <row r="16" spans="2:5" ht="18.5" x14ac:dyDescent="0.45">
      <c r="B16" s="10" t="s">
        <v>84</v>
      </c>
      <c r="C16" s="13" t="s">
        <v>66</v>
      </c>
      <c r="D16" s="14" t="s">
        <v>85</v>
      </c>
      <c r="E16" s="15">
        <v>879111000</v>
      </c>
    </row>
    <row r="17" spans="2:5" ht="18.5" x14ac:dyDescent="0.45">
      <c r="B17" s="10" t="s">
        <v>86</v>
      </c>
      <c r="C17" s="13" t="s">
        <v>87</v>
      </c>
      <c r="D17" s="14" t="s">
        <v>88</v>
      </c>
      <c r="E17" s="15">
        <v>261667000</v>
      </c>
    </row>
    <row r="18" spans="2:5" ht="18.5" x14ac:dyDescent="0.45">
      <c r="B18" s="10" t="s">
        <v>89</v>
      </c>
      <c r="C18" s="13" t="s">
        <v>90</v>
      </c>
      <c r="D18" s="14" t="s">
        <v>91</v>
      </c>
      <c r="E18" s="15">
        <v>111123000</v>
      </c>
    </row>
    <row r="19" spans="2:5" ht="18.5" x14ac:dyDescent="0.45">
      <c r="B19" s="10" t="s">
        <v>92</v>
      </c>
      <c r="C19" s="13" t="s">
        <v>93</v>
      </c>
      <c r="D19" s="14" t="s">
        <v>94</v>
      </c>
      <c r="E19" s="15">
        <v>11480000</v>
      </c>
    </row>
    <row r="20" spans="2:5" ht="18.5" x14ac:dyDescent="0.45">
      <c r="B20" s="10" t="s">
        <v>29</v>
      </c>
      <c r="C20" s="13" t="s">
        <v>87</v>
      </c>
      <c r="D20" s="14" t="s">
        <v>95</v>
      </c>
      <c r="E20" s="15">
        <v>90954000</v>
      </c>
    </row>
    <row r="21" spans="2:5" ht="18.5" x14ac:dyDescent="0.45">
      <c r="B21" s="10" t="s">
        <v>96</v>
      </c>
      <c r="C21" s="13" t="s">
        <v>97</v>
      </c>
      <c r="D21" s="14" t="s">
        <v>98</v>
      </c>
      <c r="E21" s="15">
        <v>5400000</v>
      </c>
    </row>
    <row r="22" spans="2:5" ht="18.5" x14ac:dyDescent="0.45">
      <c r="B22" s="10" t="s">
        <v>99</v>
      </c>
      <c r="C22" s="13" t="s">
        <v>97</v>
      </c>
      <c r="D22" s="14" t="s">
        <v>100</v>
      </c>
      <c r="E22" s="15">
        <v>5400000</v>
      </c>
    </row>
    <row r="23" spans="2:5" ht="18.5" x14ac:dyDescent="0.45">
      <c r="B23" s="10" t="s">
        <v>41</v>
      </c>
      <c r="C23" s="13" t="s">
        <v>101</v>
      </c>
      <c r="D23" s="14" t="s">
        <v>102</v>
      </c>
      <c r="E23" s="15">
        <v>342090000</v>
      </c>
    </row>
    <row r="24" spans="2:5" ht="18.5" x14ac:dyDescent="0.45">
      <c r="B24" s="10" t="s">
        <v>14</v>
      </c>
      <c r="C24" s="13" t="s">
        <v>103</v>
      </c>
      <c r="D24" s="14" t="s">
        <v>104</v>
      </c>
      <c r="E24" s="15">
        <v>2059140000</v>
      </c>
    </row>
    <row r="25" spans="2:5" ht="18.5" x14ac:dyDescent="0.45">
      <c r="B25" s="10" t="s">
        <v>105</v>
      </c>
      <c r="C25" s="13" t="s">
        <v>106</v>
      </c>
      <c r="D25" s="14" t="s">
        <v>107</v>
      </c>
      <c r="E25" s="15">
        <v>2219360</v>
      </c>
    </row>
    <row r="26" spans="2:5" ht="18.5" x14ac:dyDescent="0.45">
      <c r="B26" s="10" t="s">
        <v>108</v>
      </c>
      <c r="C26" s="13" t="s">
        <v>109</v>
      </c>
      <c r="D26" s="14" t="s">
        <v>110</v>
      </c>
      <c r="E26" s="15">
        <v>9800000</v>
      </c>
    </row>
    <row r="27" spans="2:5" ht="18.5" x14ac:dyDescent="0.45">
      <c r="B27" s="10" t="s">
        <v>111</v>
      </c>
      <c r="C27" s="13" t="s">
        <v>112</v>
      </c>
      <c r="D27" s="14" t="s">
        <v>113</v>
      </c>
      <c r="E27" s="15">
        <v>5222000</v>
      </c>
    </row>
    <row r="28" spans="2:5" ht="18.5" x14ac:dyDescent="0.45">
      <c r="B28" s="10" t="s">
        <v>114</v>
      </c>
      <c r="C28" s="13" t="s">
        <v>58</v>
      </c>
      <c r="D28" s="14" t="s">
        <v>115</v>
      </c>
      <c r="E28" s="15">
        <v>29646000</v>
      </c>
    </row>
    <row r="29" spans="2:5" ht="18.5" x14ac:dyDescent="0.45">
      <c r="B29" s="10" t="s">
        <v>116</v>
      </c>
      <c r="C29" s="13" t="s">
        <v>58</v>
      </c>
      <c r="D29" s="14" t="s">
        <v>117</v>
      </c>
      <c r="E29" s="15">
        <v>2865420000</v>
      </c>
    </row>
    <row r="30" spans="2:5" ht="18.5" x14ac:dyDescent="0.45">
      <c r="B30" s="10" t="s">
        <v>118</v>
      </c>
      <c r="C30" s="13" t="s">
        <v>58</v>
      </c>
      <c r="D30" s="14" t="s">
        <v>119</v>
      </c>
      <c r="E30" s="15">
        <v>8870210000</v>
      </c>
    </row>
    <row r="31" spans="2:5" ht="18.5" x14ac:dyDescent="0.45">
      <c r="B31" s="10" t="s">
        <v>5</v>
      </c>
      <c r="C31" s="13" t="s">
        <v>58</v>
      </c>
      <c r="D31" s="14" t="s">
        <v>120</v>
      </c>
      <c r="E31" s="15">
        <v>8870210000</v>
      </c>
    </row>
    <row r="32" spans="2:5" ht="18.5" x14ac:dyDescent="0.45">
      <c r="B32" s="10" t="s">
        <v>121</v>
      </c>
      <c r="C32" s="13" t="s">
        <v>97</v>
      </c>
      <c r="D32" s="14" t="s">
        <v>122</v>
      </c>
      <c r="E32" s="15">
        <v>36278300</v>
      </c>
    </row>
    <row r="33" spans="2:5" ht="18.5" x14ac:dyDescent="0.45">
      <c r="B33" s="10" t="s">
        <v>7</v>
      </c>
      <c r="C33" s="13" t="s">
        <v>93</v>
      </c>
      <c r="D33" s="14" t="s">
        <v>123</v>
      </c>
      <c r="E33" s="15">
        <v>2000000000</v>
      </c>
    </row>
    <row r="34" spans="2:5" ht="18.5" x14ac:dyDescent="0.45">
      <c r="B34" s="10" t="s">
        <v>124</v>
      </c>
      <c r="C34" s="13" t="s">
        <v>109</v>
      </c>
      <c r="D34" s="14" t="s">
        <v>125</v>
      </c>
      <c r="E34" s="15">
        <v>1600000</v>
      </c>
    </row>
    <row r="35" spans="2:5" ht="18.5" x14ac:dyDescent="0.45">
      <c r="B35" s="10" t="s">
        <v>126</v>
      </c>
      <c r="C35" s="13" t="s">
        <v>112</v>
      </c>
      <c r="D35" s="14" t="s">
        <v>127</v>
      </c>
      <c r="E35" s="15">
        <v>485623000</v>
      </c>
    </row>
    <row r="36" spans="2:5" ht="18.5" x14ac:dyDescent="0.45">
      <c r="B36" s="10" t="s">
        <v>128</v>
      </c>
      <c r="C36" s="13" t="s">
        <v>58</v>
      </c>
      <c r="D36" s="14" t="s">
        <v>129</v>
      </c>
      <c r="E36" s="15">
        <v>315913000</v>
      </c>
    </row>
    <row r="37" spans="2:5" ht="18.5" x14ac:dyDescent="0.45">
      <c r="B37" s="10" t="s">
        <v>130</v>
      </c>
      <c r="C37" s="13" t="s">
        <v>58</v>
      </c>
      <c r="D37" s="14" t="s">
        <v>131</v>
      </c>
      <c r="E37" s="15">
        <v>315913000</v>
      </c>
    </row>
    <row r="38" spans="2:5" ht="18.5" x14ac:dyDescent="0.45">
      <c r="B38" s="10" t="s">
        <v>132</v>
      </c>
      <c r="C38" s="13" t="s">
        <v>58</v>
      </c>
      <c r="D38" s="14" t="s">
        <v>133</v>
      </c>
      <c r="E38" s="15">
        <v>15285000</v>
      </c>
    </row>
    <row r="39" spans="2:5" ht="18.5" x14ac:dyDescent="0.45">
      <c r="B39" s="10" t="s">
        <v>134</v>
      </c>
      <c r="C39" s="13" t="s">
        <v>58</v>
      </c>
      <c r="D39" s="14" t="s">
        <v>135</v>
      </c>
      <c r="E39" s="15">
        <v>15285000</v>
      </c>
    </row>
    <row r="40" spans="2:5" ht="18.5" x14ac:dyDescent="0.45">
      <c r="B40" s="10" t="s">
        <v>136</v>
      </c>
      <c r="C40" s="13" t="s">
        <v>58</v>
      </c>
      <c r="D40" s="14" t="s">
        <v>137</v>
      </c>
      <c r="E40" s="15">
        <v>706953000</v>
      </c>
    </row>
    <row r="41" spans="2:5" ht="18.5" x14ac:dyDescent="0.45">
      <c r="B41" s="10" t="s">
        <v>138</v>
      </c>
      <c r="C41" s="13" t="s">
        <v>58</v>
      </c>
      <c r="D41" s="14" t="s">
        <v>139</v>
      </c>
      <c r="E41" s="15">
        <v>706953000</v>
      </c>
    </row>
    <row r="42" spans="2:5" ht="18.5" x14ac:dyDescent="0.45">
      <c r="B42" s="10" t="s">
        <v>43</v>
      </c>
      <c r="C42" s="13" t="s">
        <v>58</v>
      </c>
      <c r="D42" s="14" t="s">
        <v>140</v>
      </c>
      <c r="E42" s="15">
        <v>706953000</v>
      </c>
    </row>
    <row r="43" spans="2:5" ht="18.5" x14ac:dyDescent="0.45">
      <c r="B43" s="10" t="s">
        <v>141</v>
      </c>
      <c r="C43" s="13" t="s">
        <v>56</v>
      </c>
      <c r="D43" s="14" t="s">
        <v>142</v>
      </c>
      <c r="E43" s="15">
        <v>60760000</v>
      </c>
    </row>
    <row r="44" spans="2:5" ht="18.5" x14ac:dyDescent="0.45">
      <c r="B44" s="10" t="s">
        <v>39</v>
      </c>
      <c r="C44" s="13" t="s">
        <v>143</v>
      </c>
      <c r="D44" s="14" t="s">
        <v>144</v>
      </c>
      <c r="E44" s="15">
        <v>228105000</v>
      </c>
    </row>
    <row r="45" spans="2:5" ht="18.5" x14ac:dyDescent="0.45">
      <c r="B45" s="10" t="s">
        <v>145</v>
      </c>
      <c r="C45" s="13" t="s">
        <v>58</v>
      </c>
      <c r="D45" s="14" t="s">
        <v>146</v>
      </c>
      <c r="E45" s="15">
        <v>52416000</v>
      </c>
    </row>
    <row r="46" spans="2:5" ht="18.5" x14ac:dyDescent="0.45">
      <c r="B46" s="10" t="s">
        <v>147</v>
      </c>
      <c r="C46" s="13" t="s">
        <v>58</v>
      </c>
      <c r="D46" s="14" t="s">
        <v>148</v>
      </c>
      <c r="E46" s="15">
        <v>52416000</v>
      </c>
    </row>
    <row r="47" spans="2:5" ht="18.5" x14ac:dyDescent="0.45">
      <c r="B47" s="10" t="s">
        <v>149</v>
      </c>
      <c r="C47" s="13" t="s">
        <v>58</v>
      </c>
      <c r="D47" s="14" t="s">
        <v>150</v>
      </c>
      <c r="E47" s="15">
        <v>591475000</v>
      </c>
    </row>
    <row r="48" spans="2:5" ht="18.5" x14ac:dyDescent="0.45">
      <c r="B48" s="10" t="s">
        <v>151</v>
      </c>
      <c r="C48" s="13" t="s">
        <v>58</v>
      </c>
      <c r="D48" s="14" t="s">
        <v>152</v>
      </c>
      <c r="E48" s="15">
        <v>591475000</v>
      </c>
    </row>
    <row r="49" spans="2:5" ht="18.5" x14ac:dyDescent="0.45">
      <c r="B49" s="10" t="s">
        <v>153</v>
      </c>
      <c r="C49" s="13" t="s">
        <v>58</v>
      </c>
      <c r="D49" s="14" t="s">
        <v>154</v>
      </c>
      <c r="E49" s="15">
        <v>4825000</v>
      </c>
    </row>
    <row r="50" spans="2:5" ht="18.5" x14ac:dyDescent="0.45">
      <c r="B50" s="10" t="s">
        <v>155</v>
      </c>
      <c r="C50" s="13" t="s">
        <v>58</v>
      </c>
      <c r="D50" s="14" t="s">
        <v>156</v>
      </c>
      <c r="E50" s="15">
        <v>4825000</v>
      </c>
    </row>
    <row r="51" spans="2:5" ht="18.5" x14ac:dyDescent="0.45">
      <c r="B51" s="10" t="s">
        <v>157</v>
      </c>
      <c r="C51" s="13" t="s">
        <v>158</v>
      </c>
      <c r="D51" s="14" t="s">
        <v>159</v>
      </c>
      <c r="E51" s="15">
        <v>454750</v>
      </c>
    </row>
    <row r="52" spans="2:5" ht="18.5" x14ac:dyDescent="0.45">
      <c r="B52" s="10" t="s">
        <v>160</v>
      </c>
      <c r="C52" s="13" t="s">
        <v>58</v>
      </c>
      <c r="D52" s="14" t="s">
        <v>161</v>
      </c>
      <c r="E52" s="15">
        <v>86371000</v>
      </c>
    </row>
    <row r="53" spans="2:5" ht="18.5" x14ac:dyDescent="0.45">
      <c r="B53" s="10" t="s">
        <v>162</v>
      </c>
      <c r="C53" s="13" t="s">
        <v>63</v>
      </c>
      <c r="D53" s="14" t="s">
        <v>163</v>
      </c>
      <c r="E53" s="15">
        <v>260510000</v>
      </c>
    </row>
    <row r="54" spans="2:5" ht="18.5" x14ac:dyDescent="0.45">
      <c r="B54" s="10" t="s">
        <v>164</v>
      </c>
      <c r="C54" s="13" t="s">
        <v>58</v>
      </c>
      <c r="D54" s="14" t="s">
        <v>165</v>
      </c>
      <c r="E54" s="15">
        <v>2605830000</v>
      </c>
    </row>
    <row r="55" spans="2:5" ht="18.5" x14ac:dyDescent="0.45">
      <c r="B55" s="10" t="s">
        <v>166</v>
      </c>
      <c r="C55" s="13" t="s">
        <v>58</v>
      </c>
      <c r="D55" s="14" t="s">
        <v>167</v>
      </c>
      <c r="E55" s="15">
        <v>2605830000</v>
      </c>
    </row>
    <row r="56" spans="2:5" ht="18.5" x14ac:dyDescent="0.45">
      <c r="B56" s="10" t="s">
        <v>168</v>
      </c>
      <c r="C56" s="13" t="s">
        <v>58</v>
      </c>
      <c r="D56" s="14" t="s">
        <v>169</v>
      </c>
      <c r="E56" s="15">
        <v>2605830000</v>
      </c>
    </row>
    <row r="57" spans="2:5" ht="18.5" x14ac:dyDescent="0.45">
      <c r="B57" s="10" t="s">
        <v>170</v>
      </c>
      <c r="C57" s="13" t="s">
        <v>58</v>
      </c>
      <c r="D57" s="14" t="s">
        <v>171</v>
      </c>
      <c r="E57" s="15">
        <v>1205060000</v>
      </c>
    </row>
    <row r="58" spans="2:5" ht="18.5" x14ac:dyDescent="0.45">
      <c r="B58" s="10" t="s">
        <v>172</v>
      </c>
      <c r="C58" s="13" t="s">
        <v>106</v>
      </c>
      <c r="D58" s="14" t="s">
        <v>173</v>
      </c>
      <c r="E58" s="15">
        <v>348034000</v>
      </c>
    </row>
    <row r="59" spans="2:5" ht="18.5" x14ac:dyDescent="0.45">
      <c r="B59" s="10" t="s">
        <v>174</v>
      </c>
      <c r="C59" s="13" t="s">
        <v>106</v>
      </c>
      <c r="D59" s="14" t="s">
        <v>175</v>
      </c>
      <c r="E59" s="15">
        <v>348034000</v>
      </c>
    </row>
    <row r="60" spans="2:5" ht="18.5" x14ac:dyDescent="0.45">
      <c r="B60" s="10" t="s">
        <v>176</v>
      </c>
      <c r="C60" s="13" t="s">
        <v>177</v>
      </c>
      <c r="D60" s="14" t="s">
        <v>178</v>
      </c>
      <c r="E60" s="15">
        <v>1165000000</v>
      </c>
    </row>
    <row r="61" spans="2:5" ht="18.5" x14ac:dyDescent="0.45">
      <c r="B61" s="10" t="s">
        <v>179</v>
      </c>
      <c r="C61" s="13" t="s">
        <v>112</v>
      </c>
      <c r="D61" s="14" t="s">
        <v>180</v>
      </c>
      <c r="E61" s="15">
        <v>812473000</v>
      </c>
    </row>
    <row r="62" spans="2:5" ht="18.5" x14ac:dyDescent="0.45">
      <c r="B62" s="10" t="s">
        <v>181</v>
      </c>
      <c r="C62" s="13" t="s">
        <v>58</v>
      </c>
      <c r="D62" s="14" t="s">
        <v>182</v>
      </c>
      <c r="E62" s="15">
        <v>73646000</v>
      </c>
    </row>
    <row r="63" spans="2:5" ht="18.5" x14ac:dyDescent="0.45">
      <c r="B63" s="10" t="s">
        <v>183</v>
      </c>
      <c r="C63" s="13" t="s">
        <v>58</v>
      </c>
      <c r="D63" s="14" t="s">
        <v>184</v>
      </c>
      <c r="E63" s="15">
        <v>73646000</v>
      </c>
    </row>
    <row r="64" spans="2:5" ht="18.5" x14ac:dyDescent="0.45">
      <c r="B64" s="10" t="s">
        <v>185</v>
      </c>
      <c r="C64" s="13" t="s">
        <v>58</v>
      </c>
      <c r="D64" s="14" t="s">
        <v>186</v>
      </c>
      <c r="E64" s="15">
        <v>73646000</v>
      </c>
    </row>
    <row r="65" spans="2:5" ht="18.5" x14ac:dyDescent="0.45">
      <c r="B65" s="10" t="s">
        <v>187</v>
      </c>
      <c r="C65" s="13" t="s">
        <v>58</v>
      </c>
      <c r="D65" s="14" t="s">
        <v>188</v>
      </c>
      <c r="E65" s="15">
        <v>73646000</v>
      </c>
    </row>
    <row r="66" spans="2:5" ht="18.5" x14ac:dyDescent="0.45">
      <c r="B66" s="10" t="s">
        <v>189</v>
      </c>
      <c r="C66" s="13" t="s">
        <v>58</v>
      </c>
      <c r="D66" s="14" t="s">
        <v>190</v>
      </c>
      <c r="E66" s="15">
        <v>88601000</v>
      </c>
    </row>
    <row r="67" spans="2:5" ht="18.5" x14ac:dyDescent="0.45">
      <c r="B67" s="10" t="s">
        <v>191</v>
      </c>
      <c r="C67" s="13" t="s">
        <v>58</v>
      </c>
      <c r="D67" s="14" t="s">
        <v>192</v>
      </c>
      <c r="E67" s="15">
        <v>88601000</v>
      </c>
    </row>
    <row r="68" spans="2:5" ht="18.5" x14ac:dyDescent="0.45">
      <c r="B68" s="10" t="s">
        <v>193</v>
      </c>
      <c r="C68" s="13" t="s">
        <v>194</v>
      </c>
      <c r="D68" s="14" t="s">
        <v>195</v>
      </c>
      <c r="E68" s="15">
        <v>797219000</v>
      </c>
    </row>
    <row r="69" spans="2:5" ht="18.5" x14ac:dyDescent="0.45">
      <c r="B69" s="10" t="s">
        <v>196</v>
      </c>
      <c r="C69" s="13" t="s">
        <v>194</v>
      </c>
      <c r="D69" s="14" t="s">
        <v>197</v>
      </c>
      <c r="E69" s="15">
        <v>797219000</v>
      </c>
    </row>
    <row r="70" spans="2:5" ht="18.5" x14ac:dyDescent="0.45">
      <c r="B70" s="10" t="s">
        <v>198</v>
      </c>
      <c r="C70" s="13" t="s">
        <v>69</v>
      </c>
      <c r="D70" s="14" t="s">
        <v>199</v>
      </c>
      <c r="E70" s="15">
        <v>873141000</v>
      </c>
    </row>
    <row r="71" spans="2:5" ht="18.5" x14ac:dyDescent="0.45">
      <c r="B71" s="10" t="s">
        <v>200</v>
      </c>
      <c r="C71" s="13" t="s">
        <v>69</v>
      </c>
      <c r="D71" s="14" t="s">
        <v>201</v>
      </c>
      <c r="E71" s="15">
        <v>491510000</v>
      </c>
    </row>
    <row r="72" spans="2:5" ht="18.5" x14ac:dyDescent="0.45">
      <c r="B72" s="10" t="s">
        <v>202</v>
      </c>
      <c r="C72" s="13" t="s">
        <v>58</v>
      </c>
      <c r="D72" s="14" t="s">
        <v>203</v>
      </c>
      <c r="E72" s="15">
        <v>408974000</v>
      </c>
    </row>
    <row r="73" spans="2:5" ht="18.5" x14ac:dyDescent="0.45">
      <c r="B73" s="10" t="s">
        <v>204</v>
      </c>
      <c r="C73" s="13" t="s">
        <v>58</v>
      </c>
      <c r="D73" s="14" t="s">
        <v>205</v>
      </c>
      <c r="E73" s="15">
        <v>408974000</v>
      </c>
    </row>
    <row r="74" spans="2:5" ht="18.5" x14ac:dyDescent="0.45">
      <c r="B74" s="10" t="s">
        <v>206</v>
      </c>
      <c r="C74" s="13" t="s">
        <v>58</v>
      </c>
      <c r="D74" s="14" t="s">
        <v>207</v>
      </c>
      <c r="E74" s="15">
        <v>408974000</v>
      </c>
    </row>
    <row r="75" spans="2:5" ht="18.5" x14ac:dyDescent="0.45">
      <c r="B75" s="10" t="s">
        <v>208</v>
      </c>
      <c r="C75" s="13" t="s">
        <v>112</v>
      </c>
      <c r="D75" s="14" t="s">
        <v>209</v>
      </c>
      <c r="E75" s="15">
        <v>1020430000</v>
      </c>
    </row>
    <row r="76" spans="2:5" ht="18.5" x14ac:dyDescent="0.45">
      <c r="B76" s="10" t="s">
        <v>210</v>
      </c>
      <c r="C76" s="13" t="s">
        <v>58</v>
      </c>
      <c r="D76" s="14" t="s">
        <v>211</v>
      </c>
      <c r="E76" s="15">
        <v>36305000</v>
      </c>
    </row>
    <row r="77" spans="2:5" ht="18.5" x14ac:dyDescent="0.45">
      <c r="B77" s="10" t="s">
        <v>212</v>
      </c>
      <c r="C77" s="13" t="s">
        <v>87</v>
      </c>
      <c r="D77" s="14" t="s">
        <v>213</v>
      </c>
      <c r="E77" s="15">
        <v>523229000</v>
      </c>
    </row>
    <row r="78" spans="2:5" ht="18.5" x14ac:dyDescent="0.45">
      <c r="B78" s="10" t="s">
        <v>214</v>
      </c>
      <c r="C78" s="13" t="s">
        <v>106</v>
      </c>
      <c r="D78" s="14" t="s">
        <v>215</v>
      </c>
      <c r="E78" s="15">
        <v>14861000</v>
      </c>
    </row>
    <row r="79" spans="2:5" ht="18.5" x14ac:dyDescent="0.45">
      <c r="B79" s="10" t="s">
        <v>216</v>
      </c>
      <c r="C79" s="13" t="s">
        <v>74</v>
      </c>
      <c r="D79" s="14" t="s">
        <v>217</v>
      </c>
      <c r="E79" s="15">
        <v>41980000</v>
      </c>
    </row>
    <row r="80" spans="2:5" ht="18.5" x14ac:dyDescent="0.45">
      <c r="B80" s="10" t="s">
        <v>218</v>
      </c>
      <c r="C80" s="13" t="s">
        <v>112</v>
      </c>
      <c r="D80" s="14" t="s">
        <v>219</v>
      </c>
      <c r="E80" s="15">
        <v>370000000</v>
      </c>
    </row>
    <row r="81" spans="2:5" ht="18.5" x14ac:dyDescent="0.45">
      <c r="B81" s="10" t="s">
        <v>220</v>
      </c>
      <c r="C81" s="13" t="s">
        <v>103</v>
      </c>
      <c r="D81" s="14" t="s">
        <v>221</v>
      </c>
      <c r="E81" s="15">
        <v>41800000</v>
      </c>
    </row>
    <row r="82" spans="2:5" ht="18.5" x14ac:dyDescent="0.45">
      <c r="B82" s="10" t="s">
        <v>222</v>
      </c>
      <c r="C82" s="13" t="s">
        <v>66</v>
      </c>
      <c r="D82" s="14" t="s">
        <v>223</v>
      </c>
      <c r="E82" s="15">
        <v>166634000</v>
      </c>
    </row>
    <row r="83" spans="2:5" ht="18.5" x14ac:dyDescent="0.45">
      <c r="B83" s="10" t="s">
        <v>224</v>
      </c>
      <c r="C83" s="13" t="s">
        <v>69</v>
      </c>
      <c r="D83" s="14" t="s">
        <v>225</v>
      </c>
      <c r="E83" s="15">
        <v>165114000</v>
      </c>
    </row>
    <row r="84" spans="2:5" ht="18.5" x14ac:dyDescent="0.45">
      <c r="B84" s="10" t="s">
        <v>226</v>
      </c>
      <c r="C84" s="13" t="s">
        <v>101</v>
      </c>
      <c r="D84" s="14" t="s">
        <v>227</v>
      </c>
      <c r="E84" s="15">
        <v>2020000000</v>
      </c>
    </row>
    <row r="85" spans="2:5" ht="18.5" x14ac:dyDescent="0.45">
      <c r="B85" s="10" t="s">
        <v>228</v>
      </c>
      <c r="C85" s="13" t="s">
        <v>229</v>
      </c>
      <c r="D85" s="14" t="s">
        <v>230</v>
      </c>
      <c r="E85" s="15">
        <v>1701000</v>
      </c>
    </row>
    <row r="86" spans="2:5" ht="18.5" x14ac:dyDescent="0.45">
      <c r="B86" s="10" t="s">
        <v>231</v>
      </c>
      <c r="C86" s="13" t="s">
        <v>66</v>
      </c>
      <c r="D86" s="14" t="s">
        <v>232</v>
      </c>
      <c r="E86" s="15">
        <v>14416000</v>
      </c>
    </row>
    <row r="87" spans="2:5" ht="18.5" x14ac:dyDescent="0.45">
      <c r="B87" s="10" t="s">
        <v>233</v>
      </c>
      <c r="C87" s="13" t="s">
        <v>66</v>
      </c>
      <c r="D87" s="14" t="s">
        <v>234</v>
      </c>
      <c r="E87" s="15">
        <v>14416000</v>
      </c>
    </row>
    <row r="88" spans="2:5" ht="18.5" x14ac:dyDescent="0.45">
      <c r="B88" s="10" t="s">
        <v>235</v>
      </c>
      <c r="C88" s="13" t="s">
        <v>66</v>
      </c>
      <c r="D88" s="14" t="s">
        <v>236</v>
      </c>
      <c r="E88" s="15">
        <v>14416000</v>
      </c>
    </row>
    <row r="89" spans="2:5" ht="18.5" x14ac:dyDescent="0.45">
      <c r="B89" s="10" t="s">
        <v>237</v>
      </c>
      <c r="C89" s="13" t="s">
        <v>74</v>
      </c>
      <c r="D89" s="14" t="s">
        <v>238</v>
      </c>
      <c r="E89" s="15">
        <v>10000000</v>
      </c>
    </row>
    <row r="90" spans="2:5" ht="18.5" x14ac:dyDescent="0.45">
      <c r="B90" s="10" t="s">
        <v>239</v>
      </c>
      <c r="C90" s="13" t="s">
        <v>74</v>
      </c>
      <c r="D90" s="14" t="s">
        <v>240</v>
      </c>
      <c r="E90" s="15">
        <v>10000000</v>
      </c>
    </row>
    <row r="91" spans="2:5" ht="18.5" x14ac:dyDescent="0.45">
      <c r="B91" s="10" t="s">
        <v>241</v>
      </c>
      <c r="C91" s="13" t="s">
        <v>66</v>
      </c>
      <c r="D91" s="14" t="s">
        <v>242</v>
      </c>
      <c r="E91" s="15">
        <v>262096000</v>
      </c>
    </row>
    <row r="92" spans="2:5" ht="18.5" x14ac:dyDescent="0.45">
      <c r="B92" s="10" t="s">
        <v>243</v>
      </c>
      <c r="C92" s="13" t="s">
        <v>66</v>
      </c>
      <c r="D92" s="14" t="s">
        <v>244</v>
      </c>
      <c r="E92" s="15">
        <v>262096000</v>
      </c>
    </row>
    <row r="93" spans="2:5" ht="18.5" x14ac:dyDescent="0.45">
      <c r="B93" s="10" t="s">
        <v>245</v>
      </c>
      <c r="C93" s="13" t="s">
        <v>66</v>
      </c>
      <c r="D93" s="14" t="s">
        <v>246</v>
      </c>
      <c r="E93" s="15">
        <v>327503000</v>
      </c>
    </row>
    <row r="94" spans="2:5" ht="18.5" x14ac:dyDescent="0.45">
      <c r="B94" s="10" t="s">
        <v>247</v>
      </c>
      <c r="C94" s="13" t="s">
        <v>66</v>
      </c>
      <c r="D94" s="14" t="s">
        <v>246</v>
      </c>
      <c r="E94" s="15">
        <v>327503000</v>
      </c>
    </row>
    <row r="95" spans="2:5" ht="18.5" x14ac:dyDescent="0.45">
      <c r="B95" s="10" t="s">
        <v>248</v>
      </c>
      <c r="C95" s="13" t="s">
        <v>66</v>
      </c>
      <c r="D95" s="14" t="s">
        <v>249</v>
      </c>
      <c r="E95" s="15">
        <v>327503000</v>
      </c>
    </row>
    <row r="96" spans="2:5" ht="18.5" x14ac:dyDescent="0.45">
      <c r="B96" s="10" t="s">
        <v>250</v>
      </c>
      <c r="C96" s="13" t="s">
        <v>66</v>
      </c>
      <c r="D96" s="14" t="s">
        <v>251</v>
      </c>
      <c r="E96" s="15">
        <v>327503000</v>
      </c>
    </row>
    <row r="97" spans="2:5" ht="18.5" x14ac:dyDescent="0.45">
      <c r="B97" s="10" t="s">
        <v>252</v>
      </c>
      <c r="C97" s="13" t="s">
        <v>87</v>
      </c>
      <c r="D97" s="14" t="s">
        <v>253</v>
      </c>
      <c r="E97" s="15">
        <v>20101000</v>
      </c>
    </row>
    <row r="98" spans="2:5" ht="18.5" x14ac:dyDescent="0.45">
      <c r="B98" s="10" t="s">
        <v>254</v>
      </c>
      <c r="C98" s="13" t="s">
        <v>87</v>
      </c>
      <c r="D98" s="14" t="s">
        <v>255</v>
      </c>
      <c r="E98" s="15">
        <v>20101000</v>
      </c>
    </row>
    <row r="99" spans="2:5" ht="18.5" x14ac:dyDescent="0.45">
      <c r="B99" s="10" t="s">
        <v>21</v>
      </c>
      <c r="C99" s="13" t="s">
        <v>103</v>
      </c>
      <c r="D99" s="14" t="s">
        <v>256</v>
      </c>
      <c r="E99" s="15">
        <v>2716820000</v>
      </c>
    </row>
    <row r="100" spans="2:5" ht="18.5" x14ac:dyDescent="0.45">
      <c r="B100" s="10" t="s">
        <v>257</v>
      </c>
      <c r="C100" s="13" t="s">
        <v>66</v>
      </c>
      <c r="D100" s="14" t="s">
        <v>258</v>
      </c>
      <c r="E100" s="15">
        <v>38572000</v>
      </c>
    </row>
    <row r="101" spans="2:5" ht="18.5" x14ac:dyDescent="0.45">
      <c r="B101" s="10" t="s">
        <v>259</v>
      </c>
      <c r="C101" s="13" t="s">
        <v>66</v>
      </c>
      <c r="D101" s="14" t="s">
        <v>260</v>
      </c>
      <c r="E101" s="15">
        <v>38572000</v>
      </c>
    </row>
    <row r="102" spans="2:5" ht="18.5" x14ac:dyDescent="0.45">
      <c r="B102" s="10" t="s">
        <v>261</v>
      </c>
      <c r="C102" s="13" t="s">
        <v>66</v>
      </c>
      <c r="D102" s="14" t="s">
        <v>262</v>
      </c>
      <c r="E102" s="15">
        <v>1458750000</v>
      </c>
    </row>
    <row r="103" spans="2:5" ht="18.5" x14ac:dyDescent="0.45">
      <c r="B103" s="10" t="s">
        <v>263</v>
      </c>
      <c r="C103" s="13" t="s">
        <v>66</v>
      </c>
      <c r="D103" s="14" t="s">
        <v>264</v>
      </c>
      <c r="E103" s="15">
        <v>1458750000</v>
      </c>
    </row>
    <row r="104" spans="2:5" ht="18.5" x14ac:dyDescent="0.45">
      <c r="B104" s="10" t="s">
        <v>42</v>
      </c>
      <c r="C104" s="13" t="s">
        <v>87</v>
      </c>
      <c r="D104" s="14" t="s">
        <v>265</v>
      </c>
      <c r="E104" s="15">
        <v>211015000</v>
      </c>
    </row>
    <row r="105" spans="2:5" ht="18.5" x14ac:dyDescent="0.45">
      <c r="B105" s="10" t="s">
        <v>266</v>
      </c>
      <c r="C105" s="13" t="s">
        <v>66</v>
      </c>
      <c r="D105" s="14" t="s">
        <v>267</v>
      </c>
      <c r="E105" s="15">
        <v>77855000</v>
      </c>
    </row>
    <row r="106" spans="2:5" ht="18.5" x14ac:dyDescent="0.45">
      <c r="B106" s="10" t="s">
        <v>268</v>
      </c>
      <c r="C106" s="13" t="s">
        <v>66</v>
      </c>
      <c r="D106" s="14" t="s">
        <v>269</v>
      </c>
      <c r="E106" s="15">
        <v>77855000</v>
      </c>
    </row>
    <row r="107" spans="2:5" ht="18.5" x14ac:dyDescent="0.45">
      <c r="B107" s="10" t="s">
        <v>270</v>
      </c>
      <c r="C107" s="13" t="s">
        <v>90</v>
      </c>
      <c r="D107" s="14" t="s">
        <v>271</v>
      </c>
      <c r="E107" s="15">
        <v>1876610000</v>
      </c>
    </row>
    <row r="108" spans="2:5" ht="18.5" x14ac:dyDescent="0.45">
      <c r="B108" s="10" t="s">
        <v>272</v>
      </c>
      <c r="C108" s="13" t="s">
        <v>66</v>
      </c>
      <c r="D108" s="14" t="s">
        <v>273</v>
      </c>
      <c r="E108" s="15">
        <v>1152250000</v>
      </c>
    </row>
    <row r="109" spans="2:5" ht="18.5" x14ac:dyDescent="0.45">
      <c r="B109" s="10" t="s">
        <v>274</v>
      </c>
      <c r="C109" s="13" t="s">
        <v>66</v>
      </c>
      <c r="D109" s="14" t="s">
        <v>275</v>
      </c>
      <c r="E109" s="15">
        <v>273655000</v>
      </c>
    </row>
    <row r="110" spans="2:5" ht="18.5" x14ac:dyDescent="0.45">
      <c r="B110" s="10" t="s">
        <v>276</v>
      </c>
      <c r="C110" s="13" t="s">
        <v>66</v>
      </c>
      <c r="D110" s="14" t="s">
        <v>277</v>
      </c>
      <c r="E110" s="15">
        <v>273655000</v>
      </c>
    </row>
    <row r="111" spans="2:5" ht="18.5" x14ac:dyDescent="0.45">
      <c r="B111" s="10" t="s">
        <v>278</v>
      </c>
      <c r="C111" s="13" t="s">
        <v>66</v>
      </c>
      <c r="D111" s="14" t="s">
        <v>279</v>
      </c>
      <c r="E111" s="15">
        <v>521315000</v>
      </c>
    </row>
    <row r="112" spans="2:5" ht="18.5" x14ac:dyDescent="0.45">
      <c r="B112" s="10" t="s">
        <v>280</v>
      </c>
      <c r="C112" s="13" t="s">
        <v>97</v>
      </c>
      <c r="D112" s="14" t="s">
        <v>281</v>
      </c>
      <c r="E112" s="15">
        <v>2422000</v>
      </c>
    </row>
    <row r="113" spans="2:5" ht="18.5" x14ac:dyDescent="0.45">
      <c r="B113" s="10" t="s">
        <v>282</v>
      </c>
      <c r="C113" s="13" t="s">
        <v>283</v>
      </c>
      <c r="D113" s="14" t="s">
        <v>284</v>
      </c>
      <c r="E113" s="15">
        <v>1984940000</v>
      </c>
    </row>
    <row r="114" spans="2:5" ht="18.5" x14ac:dyDescent="0.45">
      <c r="B114" s="10" t="s">
        <v>285</v>
      </c>
      <c r="C114" s="13" t="s">
        <v>58</v>
      </c>
      <c r="D114" s="14" t="s">
        <v>286</v>
      </c>
      <c r="E114" s="15">
        <v>102943000</v>
      </c>
    </row>
    <row r="115" spans="2:5" ht="18.5" x14ac:dyDescent="0.45">
      <c r="B115" s="10" t="s">
        <v>287</v>
      </c>
      <c r="C115" s="13" t="s">
        <v>58</v>
      </c>
      <c r="D115" s="14" t="s">
        <v>288</v>
      </c>
      <c r="E115" s="15">
        <v>102943000</v>
      </c>
    </row>
    <row r="116" spans="2:5" ht="18.5" x14ac:dyDescent="0.45">
      <c r="B116" s="10" t="s">
        <v>289</v>
      </c>
      <c r="C116" s="13" t="s">
        <v>194</v>
      </c>
      <c r="D116" s="14" t="s">
        <v>290</v>
      </c>
      <c r="E116" s="15">
        <v>29019000</v>
      </c>
    </row>
    <row r="117" spans="2:5" ht="18.5" x14ac:dyDescent="0.45">
      <c r="B117" s="10" t="s">
        <v>291</v>
      </c>
      <c r="C117" s="13" t="s">
        <v>194</v>
      </c>
      <c r="D117" s="14" t="s">
        <v>292</v>
      </c>
      <c r="E117" s="15">
        <v>29019000</v>
      </c>
    </row>
    <row r="118" spans="2:5" ht="18.5" x14ac:dyDescent="0.45">
      <c r="B118" s="10" t="s">
        <v>293</v>
      </c>
      <c r="C118" s="13" t="s">
        <v>194</v>
      </c>
      <c r="D118" s="14" t="s">
        <v>294</v>
      </c>
      <c r="E118" s="15">
        <v>29019000</v>
      </c>
    </row>
    <row r="119" spans="2:5" ht="18.5" x14ac:dyDescent="0.45">
      <c r="B119" s="10" t="s">
        <v>295</v>
      </c>
      <c r="C119" s="13" t="s">
        <v>93</v>
      </c>
      <c r="D119" s="14" t="s">
        <v>296</v>
      </c>
      <c r="E119" s="15">
        <v>7680000</v>
      </c>
    </row>
    <row r="120" spans="2:5" ht="18.5" x14ac:dyDescent="0.45">
      <c r="B120" s="10" t="s">
        <v>297</v>
      </c>
      <c r="C120" s="13" t="s">
        <v>93</v>
      </c>
      <c r="D120" s="14" t="s">
        <v>298</v>
      </c>
      <c r="E120" s="15">
        <v>7680000</v>
      </c>
    </row>
    <row r="121" spans="2:5" ht="18.5" x14ac:dyDescent="0.45">
      <c r="B121" s="10" t="s">
        <v>20</v>
      </c>
      <c r="C121" s="13" t="s">
        <v>112</v>
      </c>
      <c r="D121" s="14" t="s">
        <v>299</v>
      </c>
      <c r="E121" s="15">
        <v>394210000</v>
      </c>
    </row>
    <row r="122" spans="2:5" ht="18.5" x14ac:dyDescent="0.45">
      <c r="B122" s="10" t="s">
        <v>300</v>
      </c>
      <c r="C122" s="13" t="s">
        <v>301</v>
      </c>
      <c r="D122" s="14" t="s">
        <v>302</v>
      </c>
      <c r="E122" s="15">
        <v>126751000</v>
      </c>
    </row>
    <row r="123" spans="2:5" ht="18.5" x14ac:dyDescent="0.45">
      <c r="B123" s="10" t="s">
        <v>303</v>
      </c>
      <c r="C123" s="13" t="s">
        <v>304</v>
      </c>
      <c r="D123" s="14" t="s">
        <v>305</v>
      </c>
      <c r="E123" s="15">
        <v>1387520000</v>
      </c>
    </row>
    <row r="124" spans="2:5" ht="18.5" x14ac:dyDescent="0.45">
      <c r="B124" s="10" t="s">
        <v>306</v>
      </c>
      <c r="C124" s="13" t="s">
        <v>66</v>
      </c>
      <c r="D124" s="14" t="s">
        <v>307</v>
      </c>
      <c r="E124" s="15">
        <v>168074000</v>
      </c>
    </row>
    <row r="125" spans="2:5" ht="18.5" x14ac:dyDescent="0.45">
      <c r="B125" s="10" t="s">
        <v>308</v>
      </c>
      <c r="C125" s="13" t="s">
        <v>66</v>
      </c>
      <c r="D125" s="14" t="s">
        <v>309</v>
      </c>
      <c r="E125" s="15">
        <v>168074000</v>
      </c>
    </row>
    <row r="126" spans="2:5" ht="18.5" x14ac:dyDescent="0.45">
      <c r="B126" s="10" t="s">
        <v>310</v>
      </c>
      <c r="C126" s="13" t="s">
        <v>66</v>
      </c>
      <c r="D126" s="14" t="s">
        <v>311</v>
      </c>
      <c r="E126" s="15">
        <v>168074000</v>
      </c>
    </row>
    <row r="127" spans="2:5" ht="18.5" x14ac:dyDescent="0.45">
      <c r="B127" s="10" t="s">
        <v>312</v>
      </c>
      <c r="C127" s="13" t="s">
        <v>74</v>
      </c>
      <c r="D127" s="14" t="s">
        <v>313</v>
      </c>
      <c r="E127" s="15">
        <v>6205000</v>
      </c>
    </row>
    <row r="128" spans="2:5" ht="18.5" x14ac:dyDescent="0.45">
      <c r="B128" s="10" t="s">
        <v>314</v>
      </c>
      <c r="C128" s="13" t="s">
        <v>74</v>
      </c>
      <c r="D128" s="14" t="s">
        <v>315</v>
      </c>
      <c r="E128" s="15">
        <v>6205000</v>
      </c>
    </row>
    <row r="129" spans="2:5" ht="18.5" x14ac:dyDescent="0.45">
      <c r="B129" s="10" t="s">
        <v>316</v>
      </c>
      <c r="C129" s="13" t="s">
        <v>74</v>
      </c>
      <c r="D129" s="14" t="s">
        <v>317</v>
      </c>
      <c r="E129" s="15">
        <v>30636000</v>
      </c>
    </row>
    <row r="130" spans="2:5" ht="18.5" x14ac:dyDescent="0.45">
      <c r="B130" s="10" t="s">
        <v>318</v>
      </c>
      <c r="C130" s="13" t="s">
        <v>74</v>
      </c>
      <c r="D130" s="14" t="s">
        <v>319</v>
      </c>
      <c r="E130" s="15">
        <v>30636000</v>
      </c>
    </row>
    <row r="131" spans="2:5" ht="18.5" x14ac:dyDescent="0.45">
      <c r="B131" s="10" t="s">
        <v>320</v>
      </c>
      <c r="C131" s="13" t="s">
        <v>74</v>
      </c>
      <c r="D131" s="14" t="s">
        <v>321</v>
      </c>
      <c r="E131" s="15">
        <v>39299000</v>
      </c>
    </row>
    <row r="132" spans="2:5" ht="18.5" x14ac:dyDescent="0.45">
      <c r="B132" s="10" t="s">
        <v>322</v>
      </c>
      <c r="C132" s="13" t="s">
        <v>74</v>
      </c>
      <c r="D132" s="14" t="s">
        <v>323</v>
      </c>
      <c r="E132" s="15">
        <v>39299000</v>
      </c>
    </row>
    <row r="133" spans="2:5" ht="18.5" x14ac:dyDescent="0.45">
      <c r="B133" s="10" t="s">
        <v>324</v>
      </c>
      <c r="C133" s="13" t="s">
        <v>158</v>
      </c>
      <c r="D133" s="14" t="s">
        <v>325</v>
      </c>
      <c r="E133" s="15">
        <v>149329000</v>
      </c>
    </row>
    <row r="134" spans="2:5" ht="18.5" x14ac:dyDescent="0.45">
      <c r="B134" s="10" t="s">
        <v>24</v>
      </c>
      <c r="C134" s="13" t="s">
        <v>97</v>
      </c>
      <c r="D134" s="14" t="s">
        <v>326</v>
      </c>
      <c r="E134" s="15">
        <v>399743000</v>
      </c>
    </row>
    <row r="135" spans="2:5" ht="18.5" x14ac:dyDescent="0.45">
      <c r="B135" s="10" t="s">
        <v>327</v>
      </c>
      <c r="C135" s="13" t="s">
        <v>56</v>
      </c>
      <c r="D135" s="14" t="s">
        <v>328</v>
      </c>
      <c r="E135" s="15">
        <v>480814000</v>
      </c>
    </row>
    <row r="136" spans="2:5" ht="18.5" x14ac:dyDescent="0.45">
      <c r="B136" s="10" t="s">
        <v>329</v>
      </c>
      <c r="C136" s="13" t="s">
        <v>97</v>
      </c>
      <c r="D136" s="14" t="s">
        <v>330</v>
      </c>
      <c r="E136" s="15">
        <v>153399000</v>
      </c>
    </row>
    <row r="137" spans="2:5" ht="18.5" x14ac:dyDescent="0.45">
      <c r="B137" s="10" t="s">
        <v>331</v>
      </c>
      <c r="C137" s="13" t="s">
        <v>177</v>
      </c>
      <c r="D137" s="14" t="s">
        <v>332</v>
      </c>
      <c r="E137" s="15">
        <v>270040000</v>
      </c>
    </row>
    <row r="138" spans="2:5" ht="18.5" x14ac:dyDescent="0.45">
      <c r="B138" s="10" t="s">
        <v>333</v>
      </c>
      <c r="C138" s="13" t="s">
        <v>74</v>
      </c>
      <c r="D138" s="14" t="s">
        <v>334</v>
      </c>
      <c r="E138" s="15">
        <v>60516000</v>
      </c>
    </row>
    <row r="139" spans="2:5" ht="18.5" x14ac:dyDescent="0.45">
      <c r="B139" s="10" t="s">
        <v>335</v>
      </c>
      <c r="C139" s="13" t="s">
        <v>103</v>
      </c>
      <c r="D139" s="14" t="s">
        <v>336</v>
      </c>
      <c r="E139" s="15">
        <v>7789000</v>
      </c>
    </row>
    <row r="140" spans="2:5" ht="18.5" x14ac:dyDescent="0.45">
      <c r="B140" s="10" t="s">
        <v>337</v>
      </c>
      <c r="C140" s="13" t="s">
        <v>338</v>
      </c>
      <c r="D140" s="14" t="s">
        <v>339</v>
      </c>
      <c r="E140" s="15">
        <v>691785000</v>
      </c>
    </row>
    <row r="141" spans="2:5" ht="18.5" x14ac:dyDescent="0.45">
      <c r="B141" s="10" t="s">
        <v>340</v>
      </c>
      <c r="C141" s="13" t="s">
        <v>109</v>
      </c>
      <c r="D141" s="14" t="s">
        <v>341</v>
      </c>
      <c r="E141" s="15">
        <v>22500000</v>
      </c>
    </row>
    <row r="142" spans="2:5" ht="18.5" x14ac:dyDescent="0.45">
      <c r="B142" s="10" t="s">
        <v>342</v>
      </c>
      <c r="C142" s="13" t="s">
        <v>109</v>
      </c>
      <c r="D142" s="14" t="s">
        <v>343</v>
      </c>
      <c r="E142" s="15">
        <v>22500000</v>
      </c>
    </row>
    <row r="143" spans="2:5" ht="18.5" x14ac:dyDescent="0.45">
      <c r="B143" s="10" t="s">
        <v>344</v>
      </c>
      <c r="C143" s="13" t="s">
        <v>101</v>
      </c>
      <c r="D143" s="14" t="s">
        <v>345</v>
      </c>
      <c r="E143" s="15">
        <v>558699000</v>
      </c>
    </row>
    <row r="144" spans="2:5" ht="18.5" x14ac:dyDescent="0.45">
      <c r="B144" s="10" t="s">
        <v>346</v>
      </c>
      <c r="C144" s="13" t="s">
        <v>74</v>
      </c>
      <c r="D144" s="14" t="s">
        <v>347</v>
      </c>
      <c r="E144" s="15">
        <v>1900000</v>
      </c>
    </row>
    <row r="145" spans="2:5" ht="18.5" x14ac:dyDescent="0.45">
      <c r="B145" s="10" t="s">
        <v>348</v>
      </c>
      <c r="C145" s="13" t="s">
        <v>66</v>
      </c>
      <c r="D145" s="14" t="s">
        <v>349</v>
      </c>
      <c r="E145" s="15">
        <v>815928000</v>
      </c>
    </row>
    <row r="146" spans="2:5" ht="18.5" x14ac:dyDescent="0.45">
      <c r="B146" s="10" t="s">
        <v>350</v>
      </c>
      <c r="C146" s="13" t="s">
        <v>66</v>
      </c>
      <c r="D146" s="14" t="s">
        <v>351</v>
      </c>
      <c r="E146" s="15">
        <v>193759000</v>
      </c>
    </row>
    <row r="147" spans="2:5" ht="18.5" x14ac:dyDescent="0.45">
      <c r="B147" s="10" t="s">
        <v>352</v>
      </c>
      <c r="C147" s="13" t="s">
        <v>194</v>
      </c>
      <c r="D147" s="14" t="s">
        <v>353</v>
      </c>
      <c r="E147" s="15">
        <v>31485000</v>
      </c>
    </row>
    <row r="148" spans="2:5" ht="18.5" x14ac:dyDescent="0.45">
      <c r="B148" s="10" t="s">
        <v>354</v>
      </c>
      <c r="C148" s="13" t="s">
        <v>194</v>
      </c>
      <c r="D148" s="14" t="s">
        <v>355</v>
      </c>
      <c r="E148" s="15">
        <v>31485000</v>
      </c>
    </row>
    <row r="149" spans="2:5" ht="18.5" x14ac:dyDescent="0.45">
      <c r="B149" s="10" t="s">
        <v>356</v>
      </c>
      <c r="C149" s="13" t="s">
        <v>66</v>
      </c>
      <c r="D149" s="14" t="s">
        <v>357</v>
      </c>
      <c r="E149" s="15">
        <v>1568930000</v>
      </c>
    </row>
    <row r="150" spans="2:5" ht="18.5" x14ac:dyDescent="0.45">
      <c r="B150" s="10" t="s">
        <v>358</v>
      </c>
      <c r="C150" s="13" t="s">
        <v>66</v>
      </c>
      <c r="D150" s="14" t="s">
        <v>359</v>
      </c>
      <c r="E150" s="15">
        <v>1568930000</v>
      </c>
    </row>
    <row r="151" spans="2:5" ht="18.5" x14ac:dyDescent="0.45">
      <c r="B151" s="10" t="s">
        <v>360</v>
      </c>
      <c r="C151" s="13" t="s">
        <v>66</v>
      </c>
      <c r="D151" s="14" t="s">
        <v>361</v>
      </c>
      <c r="E151" s="15">
        <v>1568930000</v>
      </c>
    </row>
    <row r="152" spans="2:5" ht="18.5" x14ac:dyDescent="0.45">
      <c r="B152" s="10" t="s">
        <v>362</v>
      </c>
      <c r="C152" s="13" t="s">
        <v>66</v>
      </c>
      <c r="D152" s="14" t="s">
        <v>363</v>
      </c>
      <c r="E152" s="15">
        <v>197467000</v>
      </c>
    </row>
    <row r="153" spans="2:5" ht="18.5" x14ac:dyDescent="0.45">
      <c r="B153" s="10" t="s">
        <v>364</v>
      </c>
      <c r="C153" s="13" t="s">
        <v>66</v>
      </c>
      <c r="D153" s="14" t="s">
        <v>365</v>
      </c>
      <c r="E153" s="15">
        <v>36947000</v>
      </c>
    </row>
    <row r="154" spans="2:5" ht="18.5" x14ac:dyDescent="0.45">
      <c r="B154" s="10" t="s">
        <v>26</v>
      </c>
      <c r="C154" s="13" t="s">
        <v>366</v>
      </c>
      <c r="D154" s="14" t="s">
        <v>367</v>
      </c>
      <c r="E154" s="15">
        <v>740465000</v>
      </c>
    </row>
    <row r="155" spans="2:5" ht="18.5" x14ac:dyDescent="0.45">
      <c r="B155" s="10" t="s">
        <v>368</v>
      </c>
      <c r="C155" s="13" t="s">
        <v>177</v>
      </c>
      <c r="D155" s="14" t="s">
        <v>369</v>
      </c>
      <c r="E155" s="15">
        <v>265807000</v>
      </c>
    </row>
    <row r="156" spans="2:5" ht="18.5" x14ac:dyDescent="0.45">
      <c r="B156" s="10" t="s">
        <v>370</v>
      </c>
      <c r="C156" s="13" t="s">
        <v>66</v>
      </c>
      <c r="D156" s="14" t="s">
        <v>371</v>
      </c>
      <c r="E156" s="15">
        <v>606850000</v>
      </c>
    </row>
    <row r="157" spans="2:5" ht="18.5" x14ac:dyDescent="0.45">
      <c r="B157" s="10" t="s">
        <v>372</v>
      </c>
      <c r="C157" s="13" t="s">
        <v>66</v>
      </c>
      <c r="D157" s="14" t="s">
        <v>373</v>
      </c>
      <c r="E157" s="15">
        <v>315483000</v>
      </c>
    </row>
    <row r="158" spans="2:5" ht="18.5" x14ac:dyDescent="0.45">
      <c r="B158" s="10" t="s">
        <v>374</v>
      </c>
      <c r="C158" s="13" t="s">
        <v>66</v>
      </c>
      <c r="D158" s="14" t="s">
        <v>375</v>
      </c>
      <c r="E158" s="15">
        <v>1814560000</v>
      </c>
    </row>
    <row r="159" spans="2:5" ht="18.5" x14ac:dyDescent="0.45">
      <c r="B159" s="10" t="s">
        <v>376</v>
      </c>
      <c r="C159" s="13" t="s">
        <v>66</v>
      </c>
      <c r="D159" s="14" t="s">
        <v>377</v>
      </c>
      <c r="E159" s="15">
        <v>1814560000</v>
      </c>
    </row>
    <row r="160" spans="2:5" ht="18.5" x14ac:dyDescent="0.45">
      <c r="B160" s="10" t="s">
        <v>378</v>
      </c>
      <c r="C160" s="13" t="s">
        <v>66</v>
      </c>
      <c r="D160" s="14" t="s">
        <v>379</v>
      </c>
      <c r="E160" s="15">
        <v>1814560000</v>
      </c>
    </row>
    <row r="161" spans="2:5" ht="18.5" x14ac:dyDescent="0.45">
      <c r="B161" s="10" t="s">
        <v>380</v>
      </c>
      <c r="C161" s="13" t="s">
        <v>66</v>
      </c>
      <c r="D161" s="14" t="s">
        <v>381</v>
      </c>
      <c r="E161" s="15">
        <v>218942000</v>
      </c>
    </row>
    <row r="162" spans="2:5" ht="18.5" x14ac:dyDescent="0.45">
      <c r="B162" s="10" t="s">
        <v>382</v>
      </c>
      <c r="C162" s="13" t="s">
        <v>66</v>
      </c>
      <c r="D162" s="14" t="s">
        <v>381</v>
      </c>
      <c r="E162" s="15">
        <v>218942000</v>
      </c>
    </row>
    <row r="163" spans="2:5" ht="18.5" x14ac:dyDescent="0.45">
      <c r="B163" s="10" t="s">
        <v>383</v>
      </c>
      <c r="C163" s="13" t="s">
        <v>66</v>
      </c>
      <c r="D163" s="14" t="s">
        <v>384</v>
      </c>
      <c r="E163" s="15">
        <v>1010190000</v>
      </c>
    </row>
    <row r="164" spans="2:5" ht="18.5" x14ac:dyDescent="0.45">
      <c r="B164" s="10" t="s">
        <v>385</v>
      </c>
      <c r="C164" s="13" t="s">
        <v>158</v>
      </c>
      <c r="D164" s="14" t="s">
        <v>386</v>
      </c>
      <c r="E164" s="15">
        <v>808000</v>
      </c>
    </row>
    <row r="165" spans="2:5" ht="18.5" x14ac:dyDescent="0.45">
      <c r="B165" s="10" t="s">
        <v>38</v>
      </c>
      <c r="C165" s="13" t="s">
        <v>97</v>
      </c>
      <c r="D165" s="14" t="s">
        <v>387</v>
      </c>
      <c r="E165" s="15">
        <v>31774000</v>
      </c>
    </row>
    <row r="166" spans="2:5" ht="18.5" x14ac:dyDescent="0.45">
      <c r="B166" s="10" t="s">
        <v>388</v>
      </c>
      <c r="C166" s="13" t="s">
        <v>338</v>
      </c>
      <c r="D166" s="14" t="s">
        <v>389</v>
      </c>
      <c r="E166" s="15">
        <v>92619000</v>
      </c>
    </row>
    <row r="167" spans="2:5" ht="18.5" x14ac:dyDescent="0.45">
      <c r="B167" s="10" t="s">
        <v>390</v>
      </c>
      <c r="C167" s="13" t="s">
        <v>338</v>
      </c>
      <c r="D167" s="14" t="s">
        <v>391</v>
      </c>
      <c r="E167" s="15">
        <v>92619000</v>
      </c>
    </row>
    <row r="168" spans="2:5" ht="18.5" x14ac:dyDescent="0.45">
      <c r="B168" s="10" t="s">
        <v>35</v>
      </c>
      <c r="C168" s="13" t="s">
        <v>97</v>
      </c>
      <c r="D168" s="14" t="s">
        <v>392</v>
      </c>
      <c r="E168" s="15">
        <v>217000000</v>
      </c>
    </row>
    <row r="169" spans="2:5" ht="18.5" x14ac:dyDescent="0.45">
      <c r="B169" s="10" t="s">
        <v>44</v>
      </c>
      <c r="C169" s="13" t="s">
        <v>97</v>
      </c>
      <c r="D169" s="14" t="s">
        <v>393</v>
      </c>
      <c r="E169" s="15">
        <v>227000000</v>
      </c>
    </row>
    <row r="170" spans="2:5" ht="18.5" x14ac:dyDescent="0.45">
      <c r="B170" s="10" t="s">
        <v>394</v>
      </c>
      <c r="C170" s="13" t="s">
        <v>304</v>
      </c>
      <c r="D170" s="14" t="s">
        <v>395</v>
      </c>
      <c r="E170" s="15">
        <v>88320000</v>
      </c>
    </row>
    <row r="171" spans="2:5" ht="18.5" x14ac:dyDescent="0.45">
      <c r="B171" s="10" t="s">
        <v>396</v>
      </c>
      <c r="C171" s="13" t="s">
        <v>304</v>
      </c>
      <c r="D171" s="14" t="s">
        <v>397</v>
      </c>
      <c r="E171" s="15">
        <v>88320000</v>
      </c>
    </row>
    <row r="172" spans="2:5" ht="18.5" x14ac:dyDescent="0.45">
      <c r="B172" s="10" t="s">
        <v>398</v>
      </c>
      <c r="C172" s="13" t="s">
        <v>194</v>
      </c>
      <c r="D172" s="14" t="s">
        <v>399</v>
      </c>
      <c r="E172" s="15">
        <v>53857000</v>
      </c>
    </row>
    <row r="173" spans="2:5" ht="18.5" x14ac:dyDescent="0.45">
      <c r="B173" s="10" t="s">
        <v>4</v>
      </c>
      <c r="C173" s="13" t="s">
        <v>56</v>
      </c>
      <c r="D173" s="14" t="s">
        <v>400</v>
      </c>
      <c r="E173" s="15">
        <v>316788000</v>
      </c>
    </row>
    <row r="174" spans="2:5" ht="18.5" x14ac:dyDescent="0.45">
      <c r="B174" s="10" t="s">
        <v>401</v>
      </c>
      <c r="C174" s="13" t="s">
        <v>366</v>
      </c>
      <c r="D174" s="14" t="s">
        <v>402</v>
      </c>
      <c r="E174" s="15">
        <v>217566000</v>
      </c>
    </row>
    <row r="175" spans="2:5" ht="18.5" x14ac:dyDescent="0.45">
      <c r="B175" s="10" t="s">
        <v>403</v>
      </c>
      <c r="C175" s="13" t="s">
        <v>404</v>
      </c>
      <c r="D175" s="14" t="s">
        <v>405</v>
      </c>
      <c r="E175" s="15">
        <v>2001110</v>
      </c>
    </row>
    <row r="176" spans="2:5" ht="18.5" x14ac:dyDescent="0.45">
      <c r="B176" s="10" t="s">
        <v>406</v>
      </c>
      <c r="C176" s="13" t="s">
        <v>56</v>
      </c>
      <c r="D176" s="14" t="s">
        <v>407</v>
      </c>
      <c r="E176" s="15">
        <v>106622000</v>
      </c>
    </row>
    <row r="177" spans="2:5" ht="18.5" x14ac:dyDescent="0.45">
      <c r="B177" s="10" t="s">
        <v>408</v>
      </c>
      <c r="C177" s="13" t="s">
        <v>66</v>
      </c>
      <c r="D177" s="14" t="s">
        <v>409</v>
      </c>
      <c r="E177" s="15">
        <v>94433000</v>
      </c>
    </row>
    <row r="178" spans="2:5" ht="18.5" x14ac:dyDescent="0.45">
      <c r="B178" s="10" t="s">
        <v>410</v>
      </c>
      <c r="C178" s="13" t="s">
        <v>66</v>
      </c>
      <c r="D178" s="14" t="s">
        <v>411</v>
      </c>
      <c r="E178" s="15">
        <v>94433000</v>
      </c>
    </row>
    <row r="179" spans="2:5" ht="18.5" x14ac:dyDescent="0.45">
      <c r="B179" s="10" t="s">
        <v>412</v>
      </c>
      <c r="C179" s="13" t="s">
        <v>97</v>
      </c>
      <c r="D179" s="14" t="s">
        <v>413</v>
      </c>
      <c r="E179" s="15">
        <v>120000000</v>
      </c>
    </row>
    <row r="180" spans="2:5" ht="18.5" x14ac:dyDescent="0.45">
      <c r="B180" s="10" t="s">
        <v>414</v>
      </c>
      <c r="C180" s="13" t="s">
        <v>304</v>
      </c>
      <c r="D180" s="14" t="s">
        <v>415</v>
      </c>
      <c r="E180" s="15">
        <v>1719660000</v>
      </c>
    </row>
    <row r="181" spans="2:5" ht="18.5" x14ac:dyDescent="0.45">
      <c r="B181" s="10" t="s">
        <v>416</v>
      </c>
      <c r="C181" s="13" t="s">
        <v>304</v>
      </c>
      <c r="D181" s="14" t="s">
        <v>417</v>
      </c>
      <c r="E181" s="15">
        <v>1719660000</v>
      </c>
    </row>
    <row r="182" spans="2:5" ht="18.5" x14ac:dyDescent="0.45">
      <c r="B182" s="10" t="s">
        <v>418</v>
      </c>
      <c r="C182" s="13" t="s">
        <v>56</v>
      </c>
      <c r="D182" s="14" t="s">
        <v>419</v>
      </c>
      <c r="E182" s="15">
        <v>603693000</v>
      </c>
    </row>
    <row r="183" spans="2:5" ht="18.5" x14ac:dyDescent="0.45">
      <c r="B183" s="10" t="s">
        <v>420</v>
      </c>
      <c r="C183" s="13" t="s">
        <v>304</v>
      </c>
      <c r="D183" s="14" t="s">
        <v>421</v>
      </c>
      <c r="E183" s="15">
        <v>1087240000</v>
      </c>
    </row>
    <row r="184" spans="2:5" ht="18.5" x14ac:dyDescent="0.45">
      <c r="B184" s="10" t="s">
        <v>422</v>
      </c>
      <c r="C184" s="13" t="s">
        <v>304</v>
      </c>
      <c r="D184" s="14" t="s">
        <v>423</v>
      </c>
      <c r="E184" s="15">
        <v>1087240000</v>
      </c>
    </row>
    <row r="185" spans="2:5" ht="18.5" x14ac:dyDescent="0.45">
      <c r="B185" s="10" t="s">
        <v>424</v>
      </c>
      <c r="C185" s="13" t="s">
        <v>101</v>
      </c>
      <c r="D185" s="14" t="s">
        <v>425</v>
      </c>
      <c r="E185" s="15">
        <v>355699000</v>
      </c>
    </row>
    <row r="186" spans="2:5" ht="18.5" x14ac:dyDescent="0.45">
      <c r="B186" s="10" t="s">
        <v>426</v>
      </c>
      <c r="C186" s="13" t="s">
        <v>194</v>
      </c>
      <c r="D186" s="14" t="s">
        <v>427</v>
      </c>
      <c r="E186" s="15">
        <v>6268000</v>
      </c>
    </row>
    <row r="187" spans="2:5" ht="18.5" x14ac:dyDescent="0.45">
      <c r="B187" s="10" t="s">
        <v>428</v>
      </c>
      <c r="C187" s="13" t="s">
        <v>106</v>
      </c>
      <c r="D187" s="14" t="s">
        <v>429</v>
      </c>
      <c r="E187" s="15">
        <v>109746000</v>
      </c>
    </row>
    <row r="188" spans="2:5" ht="18.5" x14ac:dyDescent="0.45">
      <c r="B188" s="10" t="s">
        <v>8</v>
      </c>
      <c r="C188" s="13" t="s">
        <v>74</v>
      </c>
      <c r="D188" s="14" t="s">
        <v>430</v>
      </c>
      <c r="E188" s="15">
        <v>902160000</v>
      </c>
    </row>
    <row r="189" spans="2:5" ht="18.5" x14ac:dyDescent="0.45">
      <c r="B189" s="10" t="s">
        <v>431</v>
      </c>
      <c r="C189" s="13" t="s">
        <v>69</v>
      </c>
      <c r="D189" s="14" t="s">
        <v>432</v>
      </c>
      <c r="E189" s="15">
        <v>1928770</v>
      </c>
    </row>
    <row r="190" spans="2:5" ht="18.5" x14ac:dyDescent="0.45">
      <c r="B190" s="10" t="s">
        <v>433</v>
      </c>
      <c r="C190" s="13" t="s">
        <v>87</v>
      </c>
      <c r="D190" s="14" t="s">
        <v>434</v>
      </c>
      <c r="E190" s="15">
        <v>499200000</v>
      </c>
    </row>
    <row r="191" spans="2:5" ht="18.5" x14ac:dyDescent="0.45">
      <c r="B191" s="10" t="s">
        <v>435</v>
      </c>
      <c r="C191" s="13" t="s">
        <v>97</v>
      </c>
      <c r="D191" s="14" t="s">
        <v>436</v>
      </c>
      <c r="E191" s="15">
        <v>11900000</v>
      </c>
    </row>
    <row r="192" spans="2:5" ht="18.5" x14ac:dyDescent="0.45">
      <c r="B192" s="10" t="s">
        <v>437</v>
      </c>
      <c r="C192" s="13" t="s">
        <v>97</v>
      </c>
      <c r="D192" s="14" t="s">
        <v>436</v>
      </c>
      <c r="E192" s="15">
        <v>11900000</v>
      </c>
    </row>
    <row r="193" spans="2:5" ht="18.5" x14ac:dyDescent="0.45">
      <c r="B193" s="10" t="s">
        <v>438</v>
      </c>
      <c r="C193" s="13" t="s">
        <v>56</v>
      </c>
      <c r="D193" s="14" t="s">
        <v>439</v>
      </c>
      <c r="E193" s="15">
        <v>742986000</v>
      </c>
    </row>
    <row r="194" spans="2:5" ht="18.5" x14ac:dyDescent="0.45">
      <c r="B194" s="10" t="s">
        <v>440</v>
      </c>
      <c r="C194" s="13" t="s">
        <v>97</v>
      </c>
      <c r="D194" s="14" t="s">
        <v>441</v>
      </c>
      <c r="E194" s="15">
        <v>669255000</v>
      </c>
    </row>
    <row r="195" spans="2:5" ht="18.5" x14ac:dyDescent="0.45">
      <c r="B195" s="10" t="s">
        <v>442</v>
      </c>
      <c r="C195" s="13" t="s">
        <v>106</v>
      </c>
      <c r="D195" s="14" t="s">
        <v>443</v>
      </c>
      <c r="E195" s="15">
        <v>9133690</v>
      </c>
    </row>
    <row r="196" spans="2:5" ht="18.5" x14ac:dyDescent="0.45">
      <c r="B196" s="10" t="s">
        <v>444</v>
      </c>
      <c r="C196" s="13" t="s">
        <v>445</v>
      </c>
      <c r="D196" s="14" t="s">
        <v>446</v>
      </c>
      <c r="E196" s="15">
        <v>510000</v>
      </c>
    </row>
    <row r="197" spans="2:5" ht="18.5" x14ac:dyDescent="0.45">
      <c r="B197" s="10" t="s">
        <v>447</v>
      </c>
      <c r="C197" s="13" t="s">
        <v>74</v>
      </c>
      <c r="D197" s="14" t="s">
        <v>448</v>
      </c>
      <c r="E197" s="15">
        <v>162534000</v>
      </c>
    </row>
    <row r="198" spans="2:5" ht="18.5" x14ac:dyDescent="0.45">
      <c r="B198" s="10" t="s">
        <v>449</v>
      </c>
      <c r="C198" s="13" t="s">
        <v>143</v>
      </c>
      <c r="D198" s="14" t="s">
        <v>450</v>
      </c>
      <c r="E198" s="15">
        <v>18372000</v>
      </c>
    </row>
    <row r="199" spans="2:5" ht="18.5" x14ac:dyDescent="0.45">
      <c r="B199" s="10" t="s">
        <v>451</v>
      </c>
      <c r="C199" s="13" t="s">
        <v>87</v>
      </c>
      <c r="D199" s="14" t="s">
        <v>452</v>
      </c>
      <c r="E199" s="15">
        <v>632238000</v>
      </c>
    </row>
    <row r="200" spans="2:5" ht="18.5" x14ac:dyDescent="0.45">
      <c r="B200" s="10" t="s">
        <v>453</v>
      </c>
      <c r="C200" s="13" t="s">
        <v>454</v>
      </c>
      <c r="D200" s="14" t="s">
        <v>455</v>
      </c>
      <c r="E200" s="15">
        <v>77633000</v>
      </c>
    </row>
    <row r="201" spans="2:5" ht="18.5" x14ac:dyDescent="0.45">
      <c r="B201" s="10" t="s">
        <v>456</v>
      </c>
      <c r="C201" s="13" t="s">
        <v>58</v>
      </c>
      <c r="D201" s="14" t="s">
        <v>457</v>
      </c>
      <c r="E201" s="15">
        <v>86798800</v>
      </c>
    </row>
    <row r="202" spans="2:5" ht="18.5" x14ac:dyDescent="0.45">
      <c r="B202" s="10" t="s">
        <v>458</v>
      </c>
      <c r="C202" s="13" t="s">
        <v>58</v>
      </c>
      <c r="D202" s="14" t="s">
        <v>459</v>
      </c>
      <c r="E202" s="15">
        <v>86798800</v>
      </c>
    </row>
    <row r="203" spans="2:5" ht="18.5" x14ac:dyDescent="0.45">
      <c r="B203" s="10" t="s">
        <v>460</v>
      </c>
      <c r="C203" s="13" t="s">
        <v>445</v>
      </c>
      <c r="D203" s="14" t="s">
        <v>461</v>
      </c>
      <c r="E203" s="15">
        <v>12505000</v>
      </c>
    </row>
    <row r="204" spans="2:5" ht="18.5" x14ac:dyDescent="0.45">
      <c r="B204" s="10" t="s">
        <v>462</v>
      </c>
      <c r="C204" s="13" t="s">
        <v>69</v>
      </c>
      <c r="D204" s="14" t="s">
        <v>463</v>
      </c>
      <c r="E204" s="15">
        <v>176612000</v>
      </c>
    </row>
    <row r="205" spans="2:5" ht="18.5" x14ac:dyDescent="0.45">
      <c r="B205" s="10" t="s">
        <v>464</v>
      </c>
      <c r="C205" s="13" t="s">
        <v>109</v>
      </c>
      <c r="D205" s="14" t="s">
        <v>465</v>
      </c>
      <c r="E205" s="15">
        <v>8006280</v>
      </c>
    </row>
    <row r="206" spans="2:5" ht="18.5" x14ac:dyDescent="0.45">
      <c r="B206" s="10" t="s">
        <v>466</v>
      </c>
      <c r="C206" s="13" t="s">
        <v>109</v>
      </c>
      <c r="D206" s="14" t="s">
        <v>467</v>
      </c>
      <c r="E206" s="15">
        <v>8006280</v>
      </c>
    </row>
    <row r="207" spans="2:5" ht="18.5" x14ac:dyDescent="0.45">
      <c r="B207" s="10" t="s">
        <v>468</v>
      </c>
      <c r="C207" s="13" t="s">
        <v>93</v>
      </c>
      <c r="D207" s="14" t="s">
        <v>469</v>
      </c>
      <c r="E207" s="15">
        <v>936000000</v>
      </c>
    </row>
    <row r="208" spans="2:5" ht="18.5" x14ac:dyDescent="0.45">
      <c r="B208" s="10" t="s">
        <v>470</v>
      </c>
      <c r="C208" s="13" t="s">
        <v>58</v>
      </c>
      <c r="D208" s="14" t="s">
        <v>471</v>
      </c>
      <c r="E208" s="15">
        <v>8410810000</v>
      </c>
    </row>
    <row r="209" spans="2:5" ht="18.5" x14ac:dyDescent="0.45">
      <c r="B209" s="10" t="s">
        <v>6</v>
      </c>
      <c r="C209" s="13" t="s">
        <v>58</v>
      </c>
      <c r="D209" s="14" t="s">
        <v>472</v>
      </c>
      <c r="E209" s="15">
        <v>8410810000</v>
      </c>
    </row>
    <row r="210" spans="2:5" ht="18.5" x14ac:dyDescent="0.45">
      <c r="B210" s="10" t="s">
        <v>473</v>
      </c>
      <c r="C210" s="13" t="s">
        <v>58</v>
      </c>
      <c r="D210" s="14" t="s">
        <v>474</v>
      </c>
      <c r="E210" s="15">
        <v>9804140000</v>
      </c>
    </row>
    <row r="211" spans="2:5" ht="18.5" x14ac:dyDescent="0.45">
      <c r="B211" s="10" t="s">
        <v>475</v>
      </c>
      <c r="C211" s="13" t="s">
        <v>58</v>
      </c>
      <c r="D211" s="14" t="s">
        <v>476</v>
      </c>
      <c r="E211" s="15">
        <v>9804140000</v>
      </c>
    </row>
    <row r="212" spans="2:5" ht="18.5" x14ac:dyDescent="0.45">
      <c r="B212" s="10" t="s">
        <v>477</v>
      </c>
      <c r="C212" s="13" t="s">
        <v>106</v>
      </c>
      <c r="D212" s="14" t="s">
        <v>478</v>
      </c>
      <c r="E212" s="15">
        <v>5019000</v>
      </c>
    </row>
    <row r="213" spans="2:5" ht="18.5" x14ac:dyDescent="0.45">
      <c r="B213" s="10" t="s">
        <v>479</v>
      </c>
      <c r="C213" s="13" t="s">
        <v>106</v>
      </c>
      <c r="D213" s="14" t="s">
        <v>480</v>
      </c>
      <c r="E213" s="15">
        <v>5019000</v>
      </c>
    </row>
    <row r="214" spans="2:5" ht="18.5" x14ac:dyDescent="0.45">
      <c r="B214" s="10" t="s">
        <v>481</v>
      </c>
      <c r="C214" s="13" t="s">
        <v>112</v>
      </c>
      <c r="D214" s="14" t="s">
        <v>482</v>
      </c>
      <c r="E214" s="15">
        <v>2728750000</v>
      </c>
    </row>
    <row r="215" spans="2:5" ht="18.5" x14ac:dyDescent="0.45">
      <c r="B215" s="10" t="s">
        <v>483</v>
      </c>
      <c r="C215" s="13" t="s">
        <v>97</v>
      </c>
      <c r="D215" s="14" t="s">
        <v>484</v>
      </c>
      <c r="E215" s="15">
        <v>105204000</v>
      </c>
    </row>
    <row r="216" spans="2:5" ht="18.5" x14ac:dyDescent="0.45">
      <c r="B216" s="10" t="s">
        <v>30</v>
      </c>
      <c r="C216" s="13" t="s">
        <v>97</v>
      </c>
      <c r="D216" s="14" t="s">
        <v>485</v>
      </c>
      <c r="E216" s="15">
        <v>641242000</v>
      </c>
    </row>
    <row r="217" spans="2:5" ht="18.5" x14ac:dyDescent="0.45">
      <c r="B217" s="10" t="s">
        <v>486</v>
      </c>
      <c r="C217" s="13" t="s">
        <v>112</v>
      </c>
      <c r="D217" s="14" t="s">
        <v>487</v>
      </c>
      <c r="E217" s="15">
        <v>10582000</v>
      </c>
    </row>
    <row r="218" spans="2:5" ht="18.5" x14ac:dyDescent="0.45">
      <c r="B218" s="10" t="s">
        <v>488</v>
      </c>
      <c r="C218" s="13" t="s">
        <v>112</v>
      </c>
      <c r="D218" s="14" t="s">
        <v>489</v>
      </c>
      <c r="E218" s="15">
        <v>10582000</v>
      </c>
    </row>
    <row r="219" spans="2:5" ht="18.5" x14ac:dyDescent="0.45">
      <c r="B219" s="10" t="s">
        <v>490</v>
      </c>
      <c r="C219" s="13" t="s">
        <v>491</v>
      </c>
      <c r="D219" s="14" t="s">
        <v>492</v>
      </c>
      <c r="E219" s="15">
        <v>87889000</v>
      </c>
    </row>
    <row r="220" spans="2:5" ht="18.5" x14ac:dyDescent="0.45">
      <c r="B220" s="10" t="s">
        <v>27</v>
      </c>
      <c r="C220" s="13" t="s">
        <v>101</v>
      </c>
      <c r="D220" s="14" t="s">
        <v>493</v>
      </c>
      <c r="E220" s="15">
        <v>206974000</v>
      </c>
    </row>
    <row r="221" spans="2:5" ht="18.5" x14ac:dyDescent="0.45">
      <c r="B221" s="10" t="s">
        <v>494</v>
      </c>
      <c r="C221" s="13" t="s">
        <v>109</v>
      </c>
      <c r="D221" s="14" t="s">
        <v>495</v>
      </c>
      <c r="E221" s="15">
        <v>26312000</v>
      </c>
    </row>
    <row r="222" spans="2:5" ht="18.5" x14ac:dyDescent="0.45">
      <c r="B222" s="10" t="s">
        <v>496</v>
      </c>
      <c r="C222" s="13" t="s">
        <v>338</v>
      </c>
      <c r="D222" s="14" t="s">
        <v>497</v>
      </c>
      <c r="E222" s="15">
        <v>5409800000</v>
      </c>
    </row>
    <row r="223" spans="2:5" ht="18.5" x14ac:dyDescent="0.45">
      <c r="B223" s="10" t="s">
        <v>16</v>
      </c>
      <c r="C223" s="13" t="s">
        <v>338</v>
      </c>
      <c r="D223" s="14" t="s">
        <v>498</v>
      </c>
      <c r="E223" s="15">
        <v>5409800000</v>
      </c>
    </row>
    <row r="224" spans="2:5" ht="18.5" x14ac:dyDescent="0.45">
      <c r="B224" s="10" t="s">
        <v>499</v>
      </c>
      <c r="C224" s="13" t="s">
        <v>338</v>
      </c>
      <c r="D224" s="14" t="s">
        <v>500</v>
      </c>
      <c r="E224" s="15">
        <v>5409800000</v>
      </c>
    </row>
    <row r="225" spans="2:5" ht="18.5" x14ac:dyDescent="0.45">
      <c r="B225" s="10" t="s">
        <v>501</v>
      </c>
      <c r="C225" s="13" t="s">
        <v>87</v>
      </c>
      <c r="D225" s="14" t="s">
        <v>502</v>
      </c>
      <c r="E225" s="15">
        <v>1620850000</v>
      </c>
    </row>
    <row r="226" spans="2:5" ht="18.5" x14ac:dyDescent="0.45">
      <c r="B226" s="10" t="s">
        <v>503</v>
      </c>
      <c r="C226" s="13" t="s">
        <v>87</v>
      </c>
      <c r="D226" s="14" t="s">
        <v>504</v>
      </c>
      <c r="E226" s="15">
        <v>1620850000</v>
      </c>
    </row>
    <row r="227" spans="2:5" ht="18.5" x14ac:dyDescent="0.45">
      <c r="B227" s="10" t="s">
        <v>505</v>
      </c>
      <c r="C227" s="13" t="s">
        <v>506</v>
      </c>
      <c r="D227" s="14" t="s">
        <v>507</v>
      </c>
      <c r="E227" s="15">
        <v>508729000</v>
      </c>
    </row>
    <row r="228" spans="2:5" ht="18.5" x14ac:dyDescent="0.45">
      <c r="B228" s="10" t="s">
        <v>33</v>
      </c>
      <c r="C228" s="13" t="s">
        <v>366</v>
      </c>
      <c r="D228" s="14" t="s">
        <v>508</v>
      </c>
      <c r="E228" s="15">
        <v>128308000</v>
      </c>
    </row>
    <row r="229" spans="2:5" ht="18.5" x14ac:dyDescent="0.45">
      <c r="B229" s="10" t="s">
        <v>509</v>
      </c>
      <c r="C229" s="13" t="s">
        <v>66</v>
      </c>
      <c r="D229" s="14" t="s">
        <v>510</v>
      </c>
      <c r="E229" s="15">
        <v>303934000</v>
      </c>
    </row>
    <row r="230" spans="2:5" ht="18.5" x14ac:dyDescent="0.45">
      <c r="B230" s="10" t="s">
        <v>511</v>
      </c>
      <c r="C230" s="13" t="s">
        <v>454</v>
      </c>
      <c r="D230" s="14" t="s">
        <v>512</v>
      </c>
      <c r="E230" s="15">
        <v>189409000</v>
      </c>
    </row>
    <row r="231" spans="2:5" ht="18.5" x14ac:dyDescent="0.45">
      <c r="B231" s="10" t="s">
        <v>513</v>
      </c>
      <c r="C231" s="13" t="s">
        <v>66</v>
      </c>
      <c r="D231" s="14" t="s">
        <v>514</v>
      </c>
      <c r="E231" s="15">
        <v>11765000</v>
      </c>
    </row>
    <row r="232" spans="2:5" ht="18.5" x14ac:dyDescent="0.45">
      <c r="B232" s="10" t="s">
        <v>515</v>
      </c>
      <c r="C232" s="13" t="s">
        <v>103</v>
      </c>
      <c r="D232" s="14" t="s">
        <v>516</v>
      </c>
      <c r="E232" s="15">
        <v>23459000</v>
      </c>
    </row>
    <row r="233" spans="2:5" ht="18.5" x14ac:dyDescent="0.45">
      <c r="B233" s="10" t="s">
        <v>517</v>
      </c>
      <c r="C233" s="13" t="s">
        <v>87</v>
      </c>
      <c r="D233" s="14" t="s">
        <v>518</v>
      </c>
      <c r="E233" s="15">
        <v>68851000</v>
      </c>
    </row>
    <row r="234" spans="2:5" ht="18.5" x14ac:dyDescent="0.45">
      <c r="B234" s="10" t="s">
        <v>519</v>
      </c>
      <c r="C234" s="13" t="s">
        <v>69</v>
      </c>
      <c r="D234" s="14" t="s">
        <v>520</v>
      </c>
      <c r="E234" s="15">
        <v>102159000</v>
      </c>
    </row>
    <row r="235" spans="2:5" ht="18.5" x14ac:dyDescent="0.45">
      <c r="B235" s="10" t="s">
        <v>521</v>
      </c>
      <c r="C235" s="13" t="s">
        <v>101</v>
      </c>
      <c r="D235" s="14" t="s">
        <v>522</v>
      </c>
      <c r="E235" s="15">
        <v>105489000</v>
      </c>
    </row>
    <row r="236" spans="2:5" ht="18.5" x14ac:dyDescent="0.45">
      <c r="B236" s="10" t="s">
        <v>523</v>
      </c>
      <c r="C236" s="13" t="s">
        <v>97</v>
      </c>
      <c r="D236" s="14" t="s">
        <v>524</v>
      </c>
      <c r="E236" s="15">
        <v>147555000</v>
      </c>
    </row>
    <row r="237" spans="2:5" ht="18.5" x14ac:dyDescent="0.45">
      <c r="B237" s="10" t="s">
        <v>525</v>
      </c>
      <c r="C237" s="13" t="s">
        <v>87</v>
      </c>
      <c r="D237" s="14" t="s">
        <v>526</v>
      </c>
      <c r="E237" s="15">
        <v>795590000</v>
      </c>
    </row>
    <row r="238" spans="2:5" ht="18.5" x14ac:dyDescent="0.45">
      <c r="B238" s="10" t="s">
        <v>9</v>
      </c>
      <c r="C238" s="13" t="s">
        <v>109</v>
      </c>
      <c r="D238" s="14" t="s">
        <v>527</v>
      </c>
      <c r="E238" s="15">
        <v>25034000</v>
      </c>
    </row>
    <row r="239" spans="2:5" ht="18.5" x14ac:dyDescent="0.45">
      <c r="B239" s="10" t="s">
        <v>528</v>
      </c>
      <c r="C239" s="13" t="s">
        <v>101</v>
      </c>
      <c r="D239" s="14" t="s">
        <v>529</v>
      </c>
      <c r="E239" s="15">
        <v>5196000</v>
      </c>
    </row>
    <row r="240" spans="2:5" ht="18.5" x14ac:dyDescent="0.45">
      <c r="B240" s="10" t="s">
        <v>530</v>
      </c>
      <c r="C240" s="13" t="s">
        <v>112</v>
      </c>
      <c r="D240" s="14" t="s">
        <v>531</v>
      </c>
      <c r="E240" s="15">
        <v>339000000</v>
      </c>
    </row>
    <row r="241" spans="2:5" ht="18.5" x14ac:dyDescent="0.45">
      <c r="B241" s="10" t="s">
        <v>532</v>
      </c>
      <c r="C241" s="13" t="s">
        <v>143</v>
      </c>
      <c r="D241" s="14" t="s">
        <v>533</v>
      </c>
      <c r="E241" s="15">
        <v>195920000</v>
      </c>
    </row>
    <row r="242" spans="2:5" ht="18.5" x14ac:dyDescent="0.45">
      <c r="B242" s="10" t="s">
        <v>534</v>
      </c>
      <c r="C242" s="13" t="s">
        <v>97</v>
      </c>
      <c r="D242" s="14" t="s">
        <v>535</v>
      </c>
      <c r="E242" s="15">
        <v>10309000</v>
      </c>
    </row>
    <row r="243" spans="2:5" ht="18.5" x14ac:dyDescent="0.45">
      <c r="B243" s="10" t="s">
        <v>536</v>
      </c>
      <c r="C243" s="13" t="s">
        <v>97</v>
      </c>
      <c r="D243" s="14" t="s">
        <v>537</v>
      </c>
      <c r="E243" s="15">
        <v>10309000</v>
      </c>
    </row>
    <row r="244" spans="2:5" ht="18.5" x14ac:dyDescent="0.45">
      <c r="B244" s="10" t="s">
        <v>538</v>
      </c>
      <c r="C244" s="13" t="s">
        <v>58</v>
      </c>
      <c r="D244" s="14" t="s">
        <v>539</v>
      </c>
      <c r="E244" s="15">
        <v>18010000</v>
      </c>
    </row>
    <row r="245" spans="2:5" ht="18.5" x14ac:dyDescent="0.45">
      <c r="B245" s="10" t="s">
        <v>540</v>
      </c>
      <c r="C245" s="13" t="s">
        <v>304</v>
      </c>
      <c r="D245" s="14" t="s">
        <v>541</v>
      </c>
      <c r="E245" s="15">
        <v>5783210</v>
      </c>
    </row>
    <row r="246" spans="2:5" ht="18.5" x14ac:dyDescent="0.45">
      <c r="B246" s="10" t="s">
        <v>11</v>
      </c>
      <c r="C246" s="13" t="s">
        <v>87</v>
      </c>
      <c r="D246" s="14" t="s">
        <v>542</v>
      </c>
      <c r="E246" s="15">
        <v>1624730000</v>
      </c>
    </row>
    <row r="247" spans="2:5" ht="18.5" x14ac:dyDescent="0.45">
      <c r="B247" s="10" t="s">
        <v>543</v>
      </c>
      <c r="C247" s="13" t="s">
        <v>97</v>
      </c>
      <c r="D247" s="14" t="s">
        <v>544</v>
      </c>
      <c r="E247" s="15">
        <v>251866000</v>
      </c>
    </row>
    <row r="248" spans="2:5" ht="18.5" x14ac:dyDescent="0.45">
      <c r="B248" s="10" t="s">
        <v>545</v>
      </c>
      <c r="C248" s="13" t="s">
        <v>229</v>
      </c>
      <c r="D248" s="14" t="s">
        <v>546</v>
      </c>
      <c r="E248" s="15">
        <v>6488000</v>
      </c>
    </row>
    <row r="249" spans="2:5" ht="18.5" x14ac:dyDescent="0.45">
      <c r="B249" s="10" t="s">
        <v>547</v>
      </c>
      <c r="C249" s="13" t="s">
        <v>74</v>
      </c>
      <c r="D249" s="14" t="s">
        <v>548</v>
      </c>
      <c r="E249" s="15">
        <v>2480000</v>
      </c>
    </row>
    <row r="250" spans="2:5" ht="18.5" x14ac:dyDescent="0.45">
      <c r="B250" s="10" t="s">
        <v>549</v>
      </c>
      <c r="C250" s="13" t="s">
        <v>112</v>
      </c>
      <c r="D250" s="14" t="s">
        <v>550</v>
      </c>
      <c r="E250" s="15">
        <v>7100000</v>
      </c>
    </row>
    <row r="251" spans="2:5" ht="18.5" x14ac:dyDescent="0.45">
      <c r="B251" s="10" t="s">
        <v>551</v>
      </c>
      <c r="C251" s="13" t="s">
        <v>106</v>
      </c>
      <c r="D251" s="14" t="s">
        <v>552</v>
      </c>
      <c r="E251" s="15">
        <v>12251000</v>
      </c>
    </row>
    <row r="252" spans="2:5" ht="18.5" x14ac:dyDescent="0.45">
      <c r="B252" s="10" t="s">
        <v>40</v>
      </c>
      <c r="C252" s="13" t="s">
        <v>506</v>
      </c>
      <c r="D252" s="14" t="s">
        <v>553</v>
      </c>
      <c r="E252" s="15">
        <v>298921000</v>
      </c>
    </row>
    <row r="253" spans="2:5" ht="18.5" x14ac:dyDescent="0.45">
      <c r="B253" s="10" t="s">
        <v>22</v>
      </c>
      <c r="C253" s="13" t="s">
        <v>112</v>
      </c>
      <c r="D253" s="14" t="s">
        <v>554</v>
      </c>
      <c r="E253" s="15">
        <v>711370000</v>
      </c>
    </row>
    <row r="254" spans="2:5" ht="18.5" x14ac:dyDescent="0.45">
      <c r="B254" s="10" t="s">
        <v>555</v>
      </c>
      <c r="C254" s="13" t="s">
        <v>97</v>
      </c>
      <c r="D254" s="14" t="s">
        <v>556</v>
      </c>
      <c r="E254" s="15">
        <v>481954000</v>
      </c>
    </row>
    <row r="255" spans="2:5" ht="18.5" x14ac:dyDescent="0.45">
      <c r="B255" s="10" t="s">
        <v>557</v>
      </c>
      <c r="C255" s="13" t="s">
        <v>338</v>
      </c>
      <c r="D255" s="14" t="s">
        <v>558</v>
      </c>
      <c r="E255" s="15">
        <v>6405000</v>
      </c>
    </row>
    <row r="256" spans="2:5" ht="18.5" x14ac:dyDescent="0.45">
      <c r="B256" s="10" t="s">
        <v>559</v>
      </c>
      <c r="C256" s="13" t="s">
        <v>109</v>
      </c>
      <c r="D256" s="14" t="s">
        <v>560</v>
      </c>
      <c r="E256" s="15">
        <v>9137260</v>
      </c>
    </row>
    <row r="257" spans="2:5" ht="18.5" x14ac:dyDescent="0.45">
      <c r="B257" s="10" t="s">
        <v>561</v>
      </c>
      <c r="C257" s="13" t="s">
        <v>69</v>
      </c>
      <c r="D257" s="14" t="s">
        <v>562</v>
      </c>
      <c r="E257" s="15">
        <v>600761000</v>
      </c>
    </row>
    <row r="258" spans="2:5" ht="18.5" x14ac:dyDescent="0.45">
      <c r="B258" s="10" t="s">
        <v>563</v>
      </c>
      <c r="C258" s="13" t="s">
        <v>366</v>
      </c>
      <c r="D258" s="14" t="s">
        <v>564</v>
      </c>
      <c r="E258" s="15">
        <v>2058000</v>
      </c>
    </row>
    <row r="259" spans="2:5" ht="18.5" x14ac:dyDescent="0.45">
      <c r="B259" s="10" t="s">
        <v>34</v>
      </c>
      <c r="C259" s="13" t="s">
        <v>366</v>
      </c>
      <c r="D259" s="14" t="s">
        <v>565</v>
      </c>
      <c r="E259" s="15">
        <v>153720000</v>
      </c>
    </row>
    <row r="260" spans="2:5" ht="18.5" x14ac:dyDescent="0.45">
      <c r="B260" s="10" t="s">
        <v>566</v>
      </c>
      <c r="C260" s="13" t="s">
        <v>445</v>
      </c>
      <c r="D260" s="14" t="s">
        <v>567</v>
      </c>
      <c r="E260" s="15">
        <v>13579000</v>
      </c>
    </row>
    <row r="261" spans="2:5" ht="18.5" x14ac:dyDescent="0.45">
      <c r="B261" s="10" t="s">
        <v>568</v>
      </c>
      <c r="C261" s="13" t="s">
        <v>445</v>
      </c>
      <c r="D261" s="14" t="s">
        <v>569</v>
      </c>
      <c r="E261" s="15">
        <v>13579000</v>
      </c>
    </row>
    <row r="262" spans="2:5" ht="18.5" x14ac:dyDescent="0.45">
      <c r="B262" s="10" t="s">
        <v>570</v>
      </c>
      <c r="C262" s="13" t="s">
        <v>66</v>
      </c>
      <c r="D262" s="14" t="s">
        <v>571</v>
      </c>
      <c r="E262" s="15">
        <v>1213800000</v>
      </c>
    </row>
    <row r="263" spans="2:5" ht="18.5" x14ac:dyDescent="0.45">
      <c r="B263" s="10" t="s">
        <v>572</v>
      </c>
      <c r="C263" s="13" t="s">
        <v>109</v>
      </c>
      <c r="D263" s="14" t="s">
        <v>573</v>
      </c>
      <c r="E263" s="15">
        <v>6621000</v>
      </c>
    </row>
    <row r="264" spans="2:5" ht="18.5" x14ac:dyDescent="0.45">
      <c r="B264" s="10" t="s">
        <v>574</v>
      </c>
      <c r="C264" s="13" t="s">
        <v>63</v>
      </c>
      <c r="D264" s="14" t="s">
        <v>575</v>
      </c>
      <c r="E264" s="15">
        <v>1188810000</v>
      </c>
    </row>
    <row r="265" spans="2:5" ht="18.5" x14ac:dyDescent="0.45">
      <c r="B265" s="10" t="s">
        <v>576</v>
      </c>
      <c r="C265" s="13" t="s">
        <v>194</v>
      </c>
      <c r="D265" s="14" t="s">
        <v>577</v>
      </c>
      <c r="E265" s="15">
        <v>128000</v>
      </c>
    </row>
    <row r="266" spans="2:5" ht="18.5" x14ac:dyDescent="0.45">
      <c r="B266" s="10" t="s">
        <v>578</v>
      </c>
      <c r="C266" s="13" t="s">
        <v>56</v>
      </c>
      <c r="D266" s="14" t="s">
        <v>579</v>
      </c>
      <c r="E266" s="15">
        <v>531295000</v>
      </c>
    </row>
    <row r="267" spans="2:5" ht="18.5" x14ac:dyDescent="0.45">
      <c r="B267" s="10" t="s">
        <v>580</v>
      </c>
      <c r="C267" s="13" t="s">
        <v>56</v>
      </c>
      <c r="D267" s="14" t="s">
        <v>581</v>
      </c>
      <c r="E267" s="15">
        <v>53949000</v>
      </c>
    </row>
    <row r="268" spans="2:5" ht="18.5" x14ac:dyDescent="0.45">
      <c r="B268" s="10" t="s">
        <v>28</v>
      </c>
      <c r="C268" s="13" t="s">
        <v>491</v>
      </c>
      <c r="D268" s="14" t="s">
        <v>582</v>
      </c>
      <c r="E268" s="15">
        <v>5954210000</v>
      </c>
    </row>
    <row r="269" spans="2:5" ht="18.5" x14ac:dyDescent="0.45">
      <c r="B269" s="10" t="s">
        <v>583</v>
      </c>
      <c r="C269" s="13" t="s">
        <v>491</v>
      </c>
      <c r="D269" s="14" t="s">
        <v>582</v>
      </c>
      <c r="E269" s="15">
        <v>5954210000</v>
      </c>
    </row>
    <row r="270" spans="2:5" ht="18.5" x14ac:dyDescent="0.45">
      <c r="B270" s="10" t="s">
        <v>584</v>
      </c>
      <c r="C270" s="13" t="s">
        <v>66</v>
      </c>
      <c r="D270" s="14" t="s">
        <v>585</v>
      </c>
      <c r="E270" s="15">
        <v>170133000</v>
      </c>
    </row>
    <row r="271" spans="2:5" ht="18.5" x14ac:dyDescent="0.45">
      <c r="B271" s="10" t="s">
        <v>586</v>
      </c>
      <c r="C271" s="13" t="s">
        <v>177</v>
      </c>
      <c r="D271" s="14" t="s">
        <v>587</v>
      </c>
      <c r="E271" s="15">
        <v>3148000</v>
      </c>
    </row>
    <row r="272" spans="2:5" ht="18.5" x14ac:dyDescent="0.45">
      <c r="B272" s="10" t="s">
        <v>588</v>
      </c>
      <c r="C272" s="13" t="s">
        <v>56</v>
      </c>
      <c r="D272" s="14" t="s">
        <v>589</v>
      </c>
      <c r="E272" s="15">
        <v>130979000</v>
      </c>
    </row>
    <row r="273" spans="2:5" ht="18.5" x14ac:dyDescent="0.45">
      <c r="B273" s="10" t="s">
        <v>590</v>
      </c>
      <c r="C273" s="13" t="s">
        <v>304</v>
      </c>
      <c r="D273" s="14" t="s">
        <v>591</v>
      </c>
      <c r="E273" s="15">
        <v>18270000</v>
      </c>
    </row>
    <row r="274" spans="2:5" ht="18.5" x14ac:dyDescent="0.45">
      <c r="B274" s="10" t="s">
        <v>592</v>
      </c>
      <c r="C274" s="13" t="s">
        <v>304</v>
      </c>
      <c r="D274" s="14" t="s">
        <v>593</v>
      </c>
      <c r="E274" s="15">
        <v>18270000</v>
      </c>
    </row>
    <row r="275" spans="2:5" ht="18.5" x14ac:dyDescent="0.45">
      <c r="B275" s="10" t="s">
        <v>594</v>
      </c>
      <c r="C275" s="13" t="s">
        <v>283</v>
      </c>
      <c r="D275" s="14" t="s">
        <v>595</v>
      </c>
      <c r="E275" s="15">
        <v>268049000</v>
      </c>
    </row>
    <row r="276" spans="2:5" ht="18.5" x14ac:dyDescent="0.45">
      <c r="B276" s="10" t="s">
        <v>596</v>
      </c>
      <c r="C276" s="13" t="s">
        <v>97</v>
      </c>
      <c r="D276" s="14" t="s">
        <v>597</v>
      </c>
      <c r="E276" s="15">
        <v>8067000</v>
      </c>
    </row>
    <row r="277" spans="2:5" ht="18.5" x14ac:dyDescent="0.45">
      <c r="B277" s="10" t="s">
        <v>598</v>
      </c>
      <c r="C277" s="13" t="s">
        <v>93</v>
      </c>
      <c r="D277" s="14" t="s">
        <v>599</v>
      </c>
      <c r="E277" s="15">
        <v>12850000</v>
      </c>
    </row>
    <row r="278" spans="2:5" ht="18.5" x14ac:dyDescent="0.45">
      <c r="B278" s="10" t="s">
        <v>600</v>
      </c>
      <c r="C278" s="13" t="s">
        <v>93</v>
      </c>
      <c r="D278" s="14" t="s">
        <v>601</v>
      </c>
      <c r="E278" s="15">
        <v>12850000</v>
      </c>
    </row>
    <row r="279" spans="2:5" ht="18.5" x14ac:dyDescent="0.45">
      <c r="B279" s="10" t="s">
        <v>602</v>
      </c>
      <c r="C279" s="13" t="s">
        <v>177</v>
      </c>
      <c r="D279" s="14" t="s">
        <v>603</v>
      </c>
      <c r="E279" s="15">
        <v>13044500000</v>
      </c>
    </row>
    <row r="280" spans="2:5" ht="18.5" x14ac:dyDescent="0.45">
      <c r="B280" s="10" t="s">
        <v>13</v>
      </c>
      <c r="C280" s="13" t="s">
        <v>177</v>
      </c>
      <c r="D280" s="14" t="s">
        <v>603</v>
      </c>
      <c r="E280" s="15">
        <v>13044500000</v>
      </c>
    </row>
    <row r="281" spans="2:5" ht="18.5" x14ac:dyDescent="0.45">
      <c r="B281" s="10" t="s">
        <v>604</v>
      </c>
      <c r="C281" s="13" t="s">
        <v>283</v>
      </c>
      <c r="D281" s="14" t="s">
        <v>605</v>
      </c>
      <c r="E281" s="15">
        <v>123813000</v>
      </c>
    </row>
    <row r="282" spans="2:5" ht="18.5" x14ac:dyDescent="0.45">
      <c r="B282" s="10" t="s">
        <v>606</v>
      </c>
      <c r="C282" s="13" t="s">
        <v>58</v>
      </c>
      <c r="D282" s="14" t="s">
        <v>607</v>
      </c>
      <c r="E282" s="15">
        <v>148158000</v>
      </c>
    </row>
    <row r="283" spans="2:5" ht="18.5" x14ac:dyDescent="0.45">
      <c r="B283" s="10" t="s">
        <v>608</v>
      </c>
      <c r="C283" s="13" t="s">
        <v>366</v>
      </c>
      <c r="D283" s="14" t="s">
        <v>609</v>
      </c>
      <c r="E283" s="15">
        <v>12425000</v>
      </c>
    </row>
    <row r="284" spans="2:5" ht="18.5" x14ac:dyDescent="0.45">
      <c r="B284" s="10" t="s">
        <v>610</v>
      </c>
      <c r="C284" s="13" t="s">
        <v>304</v>
      </c>
      <c r="D284" s="14" t="s">
        <v>611</v>
      </c>
      <c r="E284" s="15">
        <v>43404000</v>
      </c>
    </row>
    <row r="285" spans="2:5" ht="18.5" x14ac:dyDescent="0.45">
      <c r="B285" s="10" t="s">
        <v>612</v>
      </c>
      <c r="C285" s="13" t="s">
        <v>283</v>
      </c>
      <c r="D285" s="14" t="s">
        <v>613</v>
      </c>
      <c r="E285" s="15">
        <v>135480000</v>
      </c>
    </row>
    <row r="286" spans="2:5" ht="18.5" x14ac:dyDescent="0.45">
      <c r="B286" s="10" t="s">
        <v>614</v>
      </c>
      <c r="C286" s="13" t="s">
        <v>283</v>
      </c>
      <c r="D286" s="14" t="s">
        <v>615</v>
      </c>
      <c r="E286" s="15">
        <v>135480000</v>
      </c>
    </row>
    <row r="287" spans="2:5" ht="18.5" x14ac:dyDescent="0.45">
      <c r="B287" s="10" t="s">
        <v>616</v>
      </c>
      <c r="C287" s="13" t="s">
        <v>366</v>
      </c>
      <c r="D287" s="14" t="s">
        <v>617</v>
      </c>
      <c r="E287" s="15">
        <v>946893000</v>
      </c>
    </row>
    <row r="288" spans="2:5" ht="18.5" x14ac:dyDescent="0.45">
      <c r="B288" s="10" t="s">
        <v>618</v>
      </c>
      <c r="C288" s="13" t="s">
        <v>366</v>
      </c>
      <c r="D288" s="14" t="s">
        <v>619</v>
      </c>
      <c r="E288" s="15">
        <v>946893000</v>
      </c>
    </row>
    <row r="289" spans="2:5" ht="18.5" x14ac:dyDescent="0.45">
      <c r="B289" s="10" t="s">
        <v>620</v>
      </c>
      <c r="C289" s="13" t="s">
        <v>454</v>
      </c>
      <c r="D289" s="14" t="s">
        <v>621</v>
      </c>
      <c r="E289" s="15">
        <v>141800000</v>
      </c>
    </row>
    <row r="290" spans="2:5" ht="18.5" x14ac:dyDescent="0.45">
      <c r="B290" s="10" t="s">
        <v>622</v>
      </c>
      <c r="C290" s="13" t="s">
        <v>177</v>
      </c>
      <c r="D290" s="14" t="s">
        <v>623</v>
      </c>
      <c r="E290" s="15">
        <v>144686000</v>
      </c>
    </row>
    <row r="291" spans="2:5" ht="18.5" x14ac:dyDescent="0.45">
      <c r="B291" s="10" t="s">
        <v>624</v>
      </c>
      <c r="C291" s="13" t="s">
        <v>93</v>
      </c>
      <c r="D291" s="14" t="s">
        <v>625</v>
      </c>
      <c r="E291" s="15">
        <v>323293000</v>
      </c>
    </row>
    <row r="292" spans="2:5" ht="18.5" x14ac:dyDescent="0.45">
      <c r="B292" s="10" t="s">
        <v>626</v>
      </c>
      <c r="C292" s="13" t="s">
        <v>97</v>
      </c>
      <c r="D292" s="14" t="s">
        <v>627</v>
      </c>
      <c r="E292" s="15">
        <v>158489000</v>
      </c>
    </row>
    <row r="293" spans="2:5" ht="18.5" x14ac:dyDescent="0.45">
      <c r="B293" s="10" t="s">
        <v>628</v>
      </c>
      <c r="C293" s="13" t="s">
        <v>74</v>
      </c>
      <c r="D293" s="14" t="s">
        <v>629</v>
      </c>
      <c r="E293" s="15">
        <v>48046500</v>
      </c>
    </row>
    <row r="294" spans="2:5" ht="18.5" x14ac:dyDescent="0.45">
      <c r="B294" s="10" t="s">
        <v>630</v>
      </c>
      <c r="C294" s="13" t="s">
        <v>56</v>
      </c>
      <c r="D294" s="14" t="s">
        <v>631</v>
      </c>
      <c r="E294" s="15">
        <v>284014000</v>
      </c>
    </row>
    <row r="295" spans="2:5" ht="18.5" x14ac:dyDescent="0.45">
      <c r="B295" s="10" t="s">
        <v>632</v>
      </c>
      <c r="C295" s="13" t="s">
        <v>283</v>
      </c>
      <c r="D295" s="14" t="s">
        <v>633</v>
      </c>
      <c r="E295" s="15">
        <v>330386000</v>
      </c>
    </row>
    <row r="296" spans="2:5" ht="18.5" x14ac:dyDescent="0.45">
      <c r="B296" s="10" t="s">
        <v>634</v>
      </c>
      <c r="C296" s="13" t="s">
        <v>101</v>
      </c>
      <c r="D296" s="14" t="s">
        <v>635</v>
      </c>
      <c r="E296" s="15">
        <v>1559020000</v>
      </c>
    </row>
    <row r="297" spans="2:5" ht="18.5" x14ac:dyDescent="0.45">
      <c r="B297" s="10" t="s">
        <v>636</v>
      </c>
      <c r="C297" s="13" t="s">
        <v>338</v>
      </c>
      <c r="D297" s="14" t="s">
        <v>637</v>
      </c>
      <c r="E297" s="15">
        <v>166720000</v>
      </c>
    </row>
    <row r="298" spans="2:5" ht="18.5" x14ac:dyDescent="0.45">
      <c r="B298" s="10" t="s">
        <v>638</v>
      </c>
      <c r="C298" s="13" t="s">
        <v>338</v>
      </c>
      <c r="D298" s="14" t="s">
        <v>639</v>
      </c>
      <c r="E298" s="15">
        <v>166720000</v>
      </c>
    </row>
    <row r="299" spans="2:5" ht="18.5" x14ac:dyDescent="0.45">
      <c r="B299" s="10" t="s">
        <v>640</v>
      </c>
      <c r="C299" s="13" t="s">
        <v>366</v>
      </c>
      <c r="D299" s="14" t="s">
        <v>641</v>
      </c>
      <c r="E299" s="15">
        <v>345776000</v>
      </c>
    </row>
    <row r="300" spans="2:5" ht="18.5" x14ac:dyDescent="0.45">
      <c r="B300" s="10" t="s">
        <v>642</v>
      </c>
      <c r="C300" s="13" t="s">
        <v>366</v>
      </c>
      <c r="D300" s="14" t="s">
        <v>643</v>
      </c>
      <c r="E300" s="15">
        <v>345776000</v>
      </c>
    </row>
    <row r="301" spans="2:5" ht="18.5" x14ac:dyDescent="0.45">
      <c r="B301" s="10" t="s">
        <v>644</v>
      </c>
      <c r="C301" s="13" t="s">
        <v>366</v>
      </c>
      <c r="D301" s="14" t="s">
        <v>645</v>
      </c>
      <c r="E301" s="15">
        <v>75823000</v>
      </c>
    </row>
    <row r="302" spans="2:5" ht="18.5" x14ac:dyDescent="0.45">
      <c r="B302" s="10" t="s">
        <v>646</v>
      </c>
      <c r="C302" s="13" t="s">
        <v>97</v>
      </c>
      <c r="D302" s="14" t="s">
        <v>647</v>
      </c>
      <c r="E302" s="15">
        <v>43770000</v>
      </c>
    </row>
    <row r="303" spans="2:5" ht="18.5" x14ac:dyDescent="0.45">
      <c r="B303" s="10" t="s">
        <v>648</v>
      </c>
      <c r="C303" s="13" t="s">
        <v>66</v>
      </c>
      <c r="D303" s="14" t="s">
        <v>649</v>
      </c>
      <c r="E303" s="15">
        <v>2110320000</v>
      </c>
    </row>
    <row r="304" spans="2:5" ht="18.5" x14ac:dyDescent="0.45">
      <c r="B304" s="10" t="s">
        <v>19</v>
      </c>
      <c r="C304" s="13" t="s">
        <v>506</v>
      </c>
      <c r="D304" s="14" t="s">
        <v>650</v>
      </c>
      <c r="E304" s="15">
        <v>758467000</v>
      </c>
    </row>
    <row r="305" spans="2:5" ht="18.5" x14ac:dyDescent="0.45">
      <c r="B305" s="10" t="s">
        <v>651</v>
      </c>
      <c r="C305" s="13" t="s">
        <v>101</v>
      </c>
      <c r="D305" s="14" t="s">
        <v>652</v>
      </c>
      <c r="E305" s="15">
        <v>463224000</v>
      </c>
    </row>
    <row r="306" spans="2:5" ht="18.5" x14ac:dyDescent="0.45">
      <c r="B306" s="10" t="s">
        <v>653</v>
      </c>
      <c r="C306" s="13" t="s">
        <v>66</v>
      </c>
      <c r="D306" s="14" t="s">
        <v>654</v>
      </c>
      <c r="E306" s="15">
        <v>41720000</v>
      </c>
    </row>
    <row r="307" spans="2:5" ht="18.5" x14ac:dyDescent="0.45">
      <c r="B307" s="10" t="s">
        <v>655</v>
      </c>
      <c r="C307" s="13" t="s">
        <v>66</v>
      </c>
      <c r="D307" s="14" t="s">
        <v>656</v>
      </c>
      <c r="E307" s="15">
        <v>41720000</v>
      </c>
    </row>
    <row r="308" spans="2:5" ht="18.5" x14ac:dyDescent="0.45">
      <c r="B308" s="10" t="s">
        <v>657</v>
      </c>
      <c r="C308" s="13" t="s">
        <v>66</v>
      </c>
      <c r="D308" s="14" t="s">
        <v>658</v>
      </c>
      <c r="E308" s="15">
        <v>41720000</v>
      </c>
    </row>
    <row r="309" spans="2:5" ht="18.5" x14ac:dyDescent="0.45">
      <c r="B309" s="10" t="s">
        <v>659</v>
      </c>
      <c r="C309" s="13" t="s">
        <v>109</v>
      </c>
      <c r="D309" s="14" t="s">
        <v>660</v>
      </c>
      <c r="E309" s="15">
        <v>62858000</v>
      </c>
    </row>
    <row r="310" spans="2:5" ht="18.5" x14ac:dyDescent="0.45">
      <c r="B310" s="10" t="s">
        <v>661</v>
      </c>
      <c r="C310" s="13" t="s">
        <v>58</v>
      </c>
      <c r="D310" s="14" t="s">
        <v>662</v>
      </c>
      <c r="E310" s="15">
        <v>84682000</v>
      </c>
    </row>
    <row r="311" spans="2:5" ht="18.5" x14ac:dyDescent="0.45">
      <c r="B311" s="10" t="s">
        <v>663</v>
      </c>
      <c r="C311" s="13" t="s">
        <v>58</v>
      </c>
      <c r="D311" s="14" t="s">
        <v>664</v>
      </c>
      <c r="E311" s="15">
        <v>84682000</v>
      </c>
    </row>
    <row r="312" spans="2:5" ht="18.5" x14ac:dyDescent="0.45">
      <c r="B312" s="10" t="s">
        <v>665</v>
      </c>
      <c r="C312" s="13" t="s">
        <v>58</v>
      </c>
      <c r="D312" s="14" t="s">
        <v>666</v>
      </c>
      <c r="E312" s="15">
        <v>84682000</v>
      </c>
    </row>
    <row r="313" spans="2:5" ht="18.5" x14ac:dyDescent="0.45">
      <c r="B313" s="10" t="s">
        <v>667</v>
      </c>
      <c r="C313" s="13" t="s">
        <v>177</v>
      </c>
      <c r="D313" s="14" t="s">
        <v>668</v>
      </c>
      <c r="E313" s="15">
        <v>67692000</v>
      </c>
    </row>
    <row r="314" spans="2:5" ht="18.5" x14ac:dyDescent="0.45">
      <c r="B314" s="10" t="s">
        <v>669</v>
      </c>
      <c r="C314" s="13" t="s">
        <v>97</v>
      </c>
      <c r="D314" s="14" t="s">
        <v>670</v>
      </c>
      <c r="E314" s="15">
        <v>17153300</v>
      </c>
    </row>
    <row r="315" spans="2:5" ht="18.5" x14ac:dyDescent="0.45">
      <c r="B315" s="10" t="s">
        <v>671</v>
      </c>
      <c r="C315" s="13" t="s">
        <v>366</v>
      </c>
      <c r="D315" s="14" t="s">
        <v>672</v>
      </c>
      <c r="E315" s="15">
        <v>583000</v>
      </c>
    </row>
    <row r="316" spans="2:5" ht="18.5" x14ac:dyDescent="0.45">
      <c r="B316" s="10" t="s">
        <v>673</v>
      </c>
      <c r="C316" s="13" t="s">
        <v>58</v>
      </c>
      <c r="D316" s="14" t="s">
        <v>674</v>
      </c>
      <c r="E316" s="15">
        <v>7498530000</v>
      </c>
    </row>
    <row r="317" spans="2:5" ht="18.5" x14ac:dyDescent="0.45">
      <c r="B317" s="10" t="s">
        <v>675</v>
      </c>
      <c r="C317" s="13" t="s">
        <v>58</v>
      </c>
      <c r="D317" s="14" t="s">
        <v>676</v>
      </c>
      <c r="E317" s="15">
        <v>7498530000</v>
      </c>
    </row>
    <row r="318" spans="2:5" ht="18.5" x14ac:dyDescent="0.45">
      <c r="B318" s="10" t="s">
        <v>677</v>
      </c>
      <c r="C318" s="13" t="s">
        <v>58</v>
      </c>
      <c r="D318" s="14" t="s">
        <v>678</v>
      </c>
      <c r="E318" s="15">
        <v>7498530000</v>
      </c>
    </row>
    <row r="319" spans="2:5" ht="18.5" x14ac:dyDescent="0.45">
      <c r="B319" s="10" t="s">
        <v>679</v>
      </c>
      <c r="C319" s="13" t="s">
        <v>301</v>
      </c>
      <c r="D319" s="14" t="s">
        <v>680</v>
      </c>
      <c r="E319" s="15">
        <v>1511210000</v>
      </c>
    </row>
    <row r="320" spans="2:5" ht="18.5" x14ac:dyDescent="0.45">
      <c r="B320" s="10" t="s">
        <v>681</v>
      </c>
      <c r="C320" s="13" t="s">
        <v>301</v>
      </c>
      <c r="D320" s="14" t="s">
        <v>682</v>
      </c>
      <c r="E320" s="15">
        <v>1511210000</v>
      </c>
    </row>
    <row r="321" spans="2:5" ht="18.5" x14ac:dyDescent="0.45">
      <c r="B321" s="10" t="s">
        <v>683</v>
      </c>
      <c r="C321" s="13" t="s">
        <v>301</v>
      </c>
      <c r="D321" s="14" t="s">
        <v>684</v>
      </c>
      <c r="E321" s="15">
        <v>1511210000</v>
      </c>
    </row>
    <row r="322" spans="2:5" ht="18.5" x14ac:dyDescent="0.45">
      <c r="B322" s="10" t="s">
        <v>685</v>
      </c>
      <c r="C322" s="13" t="s">
        <v>301</v>
      </c>
      <c r="D322" s="14" t="s">
        <v>686</v>
      </c>
      <c r="E322" s="15">
        <v>683510000</v>
      </c>
    </row>
    <row r="323" spans="2:5" ht="18.5" x14ac:dyDescent="0.45">
      <c r="B323" s="10" t="s">
        <v>687</v>
      </c>
      <c r="C323" s="13" t="s">
        <v>69</v>
      </c>
      <c r="D323" s="14" t="s">
        <v>688</v>
      </c>
      <c r="E323" s="15">
        <v>57737000</v>
      </c>
    </row>
    <row r="324" spans="2:5" ht="18.5" x14ac:dyDescent="0.45">
      <c r="B324" s="10" t="s">
        <v>689</v>
      </c>
      <c r="C324" s="13" t="s">
        <v>90</v>
      </c>
      <c r="D324" s="14" t="s">
        <v>690</v>
      </c>
      <c r="E324" s="15">
        <v>128722000</v>
      </c>
    </row>
    <row r="325" spans="2:5" ht="18.5" x14ac:dyDescent="0.45">
      <c r="B325" s="10" t="s">
        <v>691</v>
      </c>
      <c r="C325" s="13" t="s">
        <v>74</v>
      </c>
      <c r="D325" s="14" t="s">
        <v>692</v>
      </c>
      <c r="E325" s="15">
        <v>50000000</v>
      </c>
    </row>
    <row r="326" spans="2:5" ht="18.5" x14ac:dyDescent="0.45">
      <c r="B326" s="10" t="s">
        <v>693</v>
      </c>
      <c r="C326" s="13" t="s">
        <v>158</v>
      </c>
      <c r="D326" s="14" t="s">
        <v>694</v>
      </c>
      <c r="E326" s="15">
        <v>67501000</v>
      </c>
    </row>
    <row r="327" spans="2:5" ht="18.5" x14ac:dyDescent="0.45">
      <c r="B327" s="10" t="s">
        <v>37</v>
      </c>
      <c r="C327" s="13" t="s">
        <v>109</v>
      </c>
      <c r="D327" s="14" t="s">
        <v>695</v>
      </c>
      <c r="E327" s="15">
        <v>89344000</v>
      </c>
    </row>
    <row r="328" spans="2:5" ht="18.5" x14ac:dyDescent="0.45">
      <c r="B328" s="10" t="s">
        <v>696</v>
      </c>
      <c r="C328" s="13" t="s">
        <v>404</v>
      </c>
      <c r="D328" s="14" t="s">
        <v>697</v>
      </c>
      <c r="E328" s="15">
        <v>190595000</v>
      </c>
    </row>
    <row r="329" spans="2:5" ht="18.5" x14ac:dyDescent="0.45">
      <c r="B329" s="10" t="s">
        <v>698</v>
      </c>
      <c r="C329" s="13" t="s">
        <v>506</v>
      </c>
      <c r="D329" s="14" t="s">
        <v>699</v>
      </c>
      <c r="E329" s="15">
        <v>124159000</v>
      </c>
    </row>
    <row r="330" spans="2:5" ht="18.5" x14ac:dyDescent="0.45">
      <c r="B330" s="10" t="s">
        <v>700</v>
      </c>
      <c r="C330" s="13" t="s">
        <v>112</v>
      </c>
      <c r="D330" s="14" t="s">
        <v>701</v>
      </c>
      <c r="E330" s="15">
        <v>354011000</v>
      </c>
    </row>
    <row r="331" spans="2:5" ht="18.5" x14ac:dyDescent="0.45">
      <c r="B331" s="10" t="s">
        <v>702</v>
      </c>
      <c r="C331" s="13" t="s">
        <v>97</v>
      </c>
      <c r="D331" s="14" t="s">
        <v>703</v>
      </c>
      <c r="E331" s="15">
        <v>2458000</v>
      </c>
    </row>
    <row r="332" spans="2:5" ht="18.5" x14ac:dyDescent="0.45">
      <c r="B332" s="10" t="s">
        <v>704</v>
      </c>
      <c r="C332" s="13" t="s">
        <v>97</v>
      </c>
      <c r="D332" s="14" t="s">
        <v>705</v>
      </c>
      <c r="E332" s="15">
        <v>2458000</v>
      </c>
    </row>
    <row r="333" spans="2:5" ht="18.5" x14ac:dyDescent="0.45">
      <c r="B333" s="10" t="s">
        <v>706</v>
      </c>
      <c r="C333" s="13" t="s">
        <v>97</v>
      </c>
      <c r="D333" s="14" t="s">
        <v>707</v>
      </c>
      <c r="E333" s="15">
        <v>2458000</v>
      </c>
    </row>
    <row r="334" spans="2:5" ht="18.5" x14ac:dyDescent="0.45">
      <c r="B334" s="10" t="s">
        <v>708</v>
      </c>
      <c r="C334" s="13" t="s">
        <v>445</v>
      </c>
      <c r="D334" s="14" t="s">
        <v>709</v>
      </c>
      <c r="E334" s="15">
        <v>2529000</v>
      </c>
    </row>
    <row r="335" spans="2:5" ht="18.5" x14ac:dyDescent="0.45">
      <c r="B335" s="10" t="s">
        <v>710</v>
      </c>
      <c r="C335" s="13" t="s">
        <v>445</v>
      </c>
      <c r="D335" s="14" t="s">
        <v>711</v>
      </c>
      <c r="E335" s="15">
        <v>2529000</v>
      </c>
    </row>
    <row r="336" spans="2:5" ht="18.5" x14ac:dyDescent="0.45">
      <c r="B336" s="10" t="s">
        <v>712</v>
      </c>
      <c r="C336" s="13" t="s">
        <v>445</v>
      </c>
      <c r="D336" s="14" t="s">
        <v>713</v>
      </c>
      <c r="E336" s="15">
        <v>2529000</v>
      </c>
    </row>
    <row r="337" spans="2:5" ht="18.5" x14ac:dyDescent="0.45">
      <c r="B337" s="10" t="s">
        <v>36</v>
      </c>
      <c r="C337" s="13" t="s">
        <v>454</v>
      </c>
      <c r="D337" s="14" t="s">
        <v>714</v>
      </c>
      <c r="E337" s="15">
        <v>70549000</v>
      </c>
    </row>
    <row r="338" spans="2:5" ht="18.5" x14ac:dyDescent="0.45">
      <c r="B338" s="10" t="s">
        <v>715</v>
      </c>
      <c r="C338" s="13" t="s">
        <v>101</v>
      </c>
      <c r="D338" s="14" t="s">
        <v>716</v>
      </c>
      <c r="E338" s="15">
        <v>669798000</v>
      </c>
    </row>
    <row r="339" spans="2:5" ht="18.5" x14ac:dyDescent="0.45">
      <c r="B339" s="10" t="s">
        <v>717</v>
      </c>
      <c r="C339" s="13" t="s">
        <v>93</v>
      </c>
      <c r="D339" s="14" t="s">
        <v>718</v>
      </c>
      <c r="E339" s="15">
        <v>1182460000</v>
      </c>
    </row>
    <row r="340" spans="2:5" ht="18.5" x14ac:dyDescent="0.45">
      <c r="B340" s="10" t="s">
        <v>719</v>
      </c>
      <c r="C340" s="13" t="s">
        <v>93</v>
      </c>
      <c r="D340" s="14" t="s">
        <v>720</v>
      </c>
      <c r="E340" s="15">
        <v>1182460000</v>
      </c>
    </row>
    <row r="341" spans="2:5" ht="18.5" x14ac:dyDescent="0.45">
      <c r="B341" s="10" t="s">
        <v>721</v>
      </c>
      <c r="C341" s="13" t="s">
        <v>93</v>
      </c>
      <c r="D341" s="14" t="s">
        <v>722</v>
      </c>
      <c r="E341" s="15">
        <v>1182460000</v>
      </c>
    </row>
    <row r="342" spans="2:5" ht="18.5" x14ac:dyDescent="0.45">
      <c r="B342" s="10" t="s">
        <v>15</v>
      </c>
      <c r="C342" s="13" t="s">
        <v>338</v>
      </c>
      <c r="D342" s="14" t="s">
        <v>723</v>
      </c>
      <c r="E342" s="15">
        <v>1361260000</v>
      </c>
    </row>
    <row r="343" spans="2:5" ht="18.5" x14ac:dyDescent="0.45">
      <c r="B343" s="10" t="s">
        <v>10</v>
      </c>
      <c r="C343" s="13" t="s">
        <v>66</v>
      </c>
      <c r="D343" s="14" t="s">
        <v>724</v>
      </c>
      <c r="E343" s="15">
        <v>1033500000</v>
      </c>
    </row>
    <row r="344" spans="2:5" ht="18.5" x14ac:dyDescent="0.45">
      <c r="B344" s="10" t="s">
        <v>725</v>
      </c>
      <c r="C344" s="13" t="s">
        <v>66</v>
      </c>
      <c r="D344" s="14" t="s">
        <v>726</v>
      </c>
      <c r="E344" s="15">
        <v>1033500000</v>
      </c>
    </row>
    <row r="345" spans="2:5" ht="18.5" x14ac:dyDescent="0.45">
      <c r="B345" s="10" t="s">
        <v>727</v>
      </c>
      <c r="C345" s="13" t="s">
        <v>66</v>
      </c>
      <c r="D345" s="14" t="s">
        <v>728</v>
      </c>
      <c r="E345" s="15">
        <v>1033500000</v>
      </c>
    </row>
    <row r="346" spans="2:5" ht="18.5" x14ac:dyDescent="0.45">
      <c r="B346" s="10" t="s">
        <v>729</v>
      </c>
      <c r="C346" s="13" t="s">
        <v>109</v>
      </c>
      <c r="D346" s="14" t="s">
        <v>730</v>
      </c>
      <c r="E346" s="15">
        <v>88488000</v>
      </c>
    </row>
    <row r="347" spans="2:5" ht="18.5" x14ac:dyDescent="0.45">
      <c r="B347" s="10" t="s">
        <v>731</v>
      </c>
      <c r="C347" s="13" t="s">
        <v>109</v>
      </c>
      <c r="D347" s="14" t="s">
        <v>732</v>
      </c>
      <c r="E347" s="15">
        <v>88488000</v>
      </c>
    </row>
    <row r="348" spans="2:5" ht="18.5" x14ac:dyDescent="0.45">
      <c r="B348" s="10" t="s">
        <v>733</v>
      </c>
      <c r="C348" s="13" t="s">
        <v>97</v>
      </c>
      <c r="D348" s="14" t="s">
        <v>734</v>
      </c>
      <c r="E348" s="15">
        <v>6620000</v>
      </c>
    </row>
    <row r="349" spans="2:5" ht="18.5" x14ac:dyDescent="0.45">
      <c r="B349" s="10" t="s">
        <v>735</v>
      </c>
      <c r="C349" s="13" t="s">
        <v>97</v>
      </c>
      <c r="D349" s="14" t="s">
        <v>736</v>
      </c>
      <c r="E349" s="15">
        <v>6620000</v>
      </c>
    </row>
    <row r="350" spans="2:5" ht="18.5" x14ac:dyDescent="0.45">
      <c r="B350" s="10" t="s">
        <v>737</v>
      </c>
      <c r="C350" s="13" t="s">
        <v>97</v>
      </c>
      <c r="D350" s="14" t="s">
        <v>738</v>
      </c>
      <c r="E350" s="15">
        <v>736192000</v>
      </c>
    </row>
    <row r="351" spans="2:5" ht="18.5" x14ac:dyDescent="0.45">
      <c r="B351" s="10" t="s">
        <v>739</v>
      </c>
      <c r="C351" s="13" t="s">
        <v>74</v>
      </c>
      <c r="D351" s="14" t="s">
        <v>740</v>
      </c>
      <c r="E351" s="15">
        <v>78506000</v>
      </c>
    </row>
    <row r="352" spans="2:5" ht="18.5" x14ac:dyDescent="0.45">
      <c r="B352" s="10" t="s">
        <v>741</v>
      </c>
      <c r="C352" s="13" t="s">
        <v>74</v>
      </c>
      <c r="D352" s="14" t="s">
        <v>742</v>
      </c>
      <c r="E352" s="15">
        <v>503000</v>
      </c>
    </row>
    <row r="353" spans="2:5" ht="18.5" x14ac:dyDescent="0.45">
      <c r="B353" s="10" t="s">
        <v>743</v>
      </c>
      <c r="C353" s="13" t="s">
        <v>74</v>
      </c>
      <c r="D353" s="14" t="s">
        <v>744</v>
      </c>
      <c r="E353" s="15">
        <v>503000</v>
      </c>
    </row>
    <row r="354" spans="2:5" ht="18.5" x14ac:dyDescent="0.45">
      <c r="B354" s="10" t="s">
        <v>745</v>
      </c>
      <c r="C354" s="13" t="s">
        <v>97</v>
      </c>
      <c r="D354" s="14" t="s">
        <v>746</v>
      </c>
      <c r="E354" s="15">
        <v>104344000</v>
      </c>
    </row>
    <row r="355" spans="2:5" ht="18.5" x14ac:dyDescent="0.45">
      <c r="B355" s="10" t="s">
        <v>747</v>
      </c>
      <c r="C355" s="13" t="s">
        <v>404</v>
      </c>
      <c r="D355" s="14" t="s">
        <v>748</v>
      </c>
      <c r="E355" s="15">
        <v>21657000</v>
      </c>
    </row>
    <row r="356" spans="2:5" ht="18.5" x14ac:dyDescent="0.45">
      <c r="B356" s="10" t="s">
        <v>749</v>
      </c>
      <c r="C356" s="13" t="s">
        <v>101</v>
      </c>
      <c r="D356" s="14" t="s">
        <v>750</v>
      </c>
      <c r="E356" s="15">
        <v>66003000</v>
      </c>
    </row>
    <row r="357" spans="2:5" ht="18.5" x14ac:dyDescent="0.45">
      <c r="B357" s="10" t="s">
        <v>25</v>
      </c>
      <c r="C357" s="13" t="s">
        <v>66</v>
      </c>
      <c r="D357" s="14" t="s">
        <v>751</v>
      </c>
      <c r="E357" s="15" t="s">
        <v>752</v>
      </c>
    </row>
    <row r="358" spans="2:5" ht="18.5" x14ac:dyDescent="0.45">
      <c r="B358" s="10" t="s">
        <v>753</v>
      </c>
      <c r="C358" s="13" t="s">
        <v>66</v>
      </c>
      <c r="D358" s="14" t="s">
        <v>752</v>
      </c>
      <c r="E358" s="15" t="s">
        <v>752</v>
      </c>
    </row>
    <row r="359" spans="2:5" ht="18.5" x14ac:dyDescent="0.45">
      <c r="B359" s="10" t="s">
        <v>754</v>
      </c>
      <c r="C359" s="13" t="s">
        <v>66</v>
      </c>
      <c r="D359" s="14" t="s">
        <v>755</v>
      </c>
      <c r="E359" s="15" t="s">
        <v>752</v>
      </c>
    </row>
    <row r="360" spans="2:5" ht="18.5" x14ac:dyDescent="0.45">
      <c r="B360" s="10" t="s">
        <v>756</v>
      </c>
      <c r="C360" s="13" t="s">
        <v>491</v>
      </c>
      <c r="D360" s="14" t="s">
        <v>757</v>
      </c>
      <c r="E360" s="15">
        <v>2421030000</v>
      </c>
    </row>
    <row r="361" spans="2:5" ht="18.5" x14ac:dyDescent="0.45">
      <c r="B361" s="10" t="s">
        <v>758</v>
      </c>
      <c r="C361" s="13" t="s">
        <v>304</v>
      </c>
      <c r="D361" s="14" t="s">
        <v>759</v>
      </c>
      <c r="E361" s="15">
        <v>2948000</v>
      </c>
    </row>
    <row r="362" spans="2:5" ht="18.5" x14ac:dyDescent="0.45">
      <c r="B362" s="10" t="s">
        <v>23</v>
      </c>
      <c r="C362" s="13" t="s">
        <v>454</v>
      </c>
      <c r="D362" s="14" t="s">
        <v>760</v>
      </c>
      <c r="E362" s="15">
        <v>577913000</v>
      </c>
    </row>
    <row r="363" spans="2:5" ht="18.5" x14ac:dyDescent="0.45">
      <c r="B363" s="10" t="s">
        <v>761</v>
      </c>
      <c r="C363" s="13" t="s">
        <v>101</v>
      </c>
      <c r="D363" s="14" t="s">
        <v>762</v>
      </c>
      <c r="E363" s="15">
        <v>176000000</v>
      </c>
    </row>
    <row r="364" spans="2:5" ht="18.5" x14ac:dyDescent="0.45">
      <c r="B364" s="10" t="s">
        <v>763</v>
      </c>
      <c r="C364" s="13" t="s">
        <v>97</v>
      </c>
      <c r="D364" s="14" t="s">
        <v>764</v>
      </c>
      <c r="E364" s="15">
        <v>186618000</v>
      </c>
    </row>
    <row r="365" spans="2:5" ht="18.5" x14ac:dyDescent="0.45">
      <c r="B365" s="10" t="s">
        <v>765</v>
      </c>
      <c r="C365" s="13" t="s">
        <v>66</v>
      </c>
      <c r="D365" s="14" t="s">
        <v>766</v>
      </c>
      <c r="E365" s="15">
        <v>658883000</v>
      </c>
    </row>
    <row r="366" spans="2:5" ht="18.5" x14ac:dyDescent="0.45">
      <c r="B366" s="10" t="s">
        <v>767</v>
      </c>
      <c r="C366" s="13" t="s">
        <v>66</v>
      </c>
      <c r="D366" s="14" t="s">
        <v>768</v>
      </c>
      <c r="E366" s="15">
        <v>658883000</v>
      </c>
    </row>
    <row r="367" spans="2:5" ht="18.5" x14ac:dyDescent="0.45">
      <c r="B367" s="10" t="s">
        <v>32</v>
      </c>
      <c r="C367" s="13" t="s">
        <v>366</v>
      </c>
      <c r="D367" s="14" t="s">
        <v>769</v>
      </c>
      <c r="E367" s="15">
        <v>144178000</v>
      </c>
    </row>
    <row r="368" spans="2:5" ht="18.5" x14ac:dyDescent="0.45">
      <c r="B368" s="10" t="s">
        <v>770</v>
      </c>
      <c r="C368" s="13" t="s">
        <v>74</v>
      </c>
      <c r="D368" s="14" t="s">
        <v>771</v>
      </c>
      <c r="E368" s="15">
        <v>4259000</v>
      </c>
    </row>
    <row r="369" spans="2:5" ht="18.5" x14ac:dyDescent="0.45">
      <c r="B369" s="10" t="s">
        <v>772</v>
      </c>
      <c r="C369" s="13" t="s">
        <v>106</v>
      </c>
      <c r="D369" s="14" t="s">
        <v>773</v>
      </c>
      <c r="E369" s="15">
        <v>1114920000</v>
      </c>
    </row>
    <row r="370" spans="2:5" ht="18.5" x14ac:dyDescent="0.45">
      <c r="B370" s="10" t="s">
        <v>45</v>
      </c>
      <c r="C370" s="13" t="s">
        <v>194</v>
      </c>
      <c r="D370" s="14" t="s">
        <v>774</v>
      </c>
      <c r="E370" s="15">
        <v>97818000</v>
      </c>
    </row>
    <row r="371" spans="2:5" ht="18.5" x14ac:dyDescent="0.45">
      <c r="B371" s="10" t="s">
        <v>775</v>
      </c>
      <c r="C371" s="13" t="s">
        <v>194</v>
      </c>
      <c r="D371" s="14" t="s">
        <v>776</v>
      </c>
      <c r="E371" s="15">
        <v>97818000</v>
      </c>
    </row>
    <row r="372" spans="2:5" ht="18.5" x14ac:dyDescent="0.45">
      <c r="B372" s="10" t="s">
        <v>777</v>
      </c>
      <c r="C372" s="13" t="s">
        <v>194</v>
      </c>
      <c r="D372" s="14" t="s">
        <v>778</v>
      </c>
      <c r="E372" s="15">
        <v>97818000</v>
      </c>
    </row>
    <row r="373" spans="2:5" ht="18.5" x14ac:dyDescent="0.45">
      <c r="B373" s="10" t="s">
        <v>779</v>
      </c>
      <c r="C373" s="13" t="s">
        <v>304</v>
      </c>
      <c r="D373" s="14" t="s">
        <v>780</v>
      </c>
      <c r="E373" s="15">
        <v>1253080000</v>
      </c>
    </row>
    <row r="374" spans="2:5" ht="18.5" x14ac:dyDescent="0.45">
      <c r="B374" s="10" t="s">
        <v>781</v>
      </c>
      <c r="C374" s="13" t="s">
        <v>304</v>
      </c>
      <c r="D374" s="14" t="s">
        <v>782</v>
      </c>
      <c r="E374" s="15">
        <v>1253080000</v>
      </c>
    </row>
    <row r="375" spans="2:5" ht="18.5" x14ac:dyDescent="0.45">
      <c r="B375" s="10" t="s">
        <v>783</v>
      </c>
      <c r="C375" s="13" t="s">
        <v>304</v>
      </c>
      <c r="D375" s="14" t="s">
        <v>784</v>
      </c>
      <c r="E375" s="15">
        <v>1253080000</v>
      </c>
    </row>
    <row r="376" spans="2:5" ht="18.5" x14ac:dyDescent="0.45">
      <c r="B376" s="10" t="s">
        <v>785</v>
      </c>
      <c r="C376" s="13" t="s">
        <v>229</v>
      </c>
      <c r="D376" s="14" t="s">
        <v>786</v>
      </c>
      <c r="E376" s="15">
        <v>5284470000</v>
      </c>
    </row>
    <row r="377" spans="2:5" ht="18.5" x14ac:dyDescent="0.45">
      <c r="B377" s="10" t="s">
        <v>787</v>
      </c>
      <c r="C377" s="13" t="s">
        <v>87</v>
      </c>
      <c r="D377" s="14" t="s">
        <v>788</v>
      </c>
      <c r="E377" s="15">
        <v>236198000</v>
      </c>
    </row>
    <row r="378" spans="2:5" ht="18.5" x14ac:dyDescent="0.45">
      <c r="B378" s="10" t="s">
        <v>789</v>
      </c>
      <c r="C378" s="13" t="s">
        <v>97</v>
      </c>
      <c r="D378" s="14" t="s">
        <v>790</v>
      </c>
      <c r="E378" s="15">
        <v>46572000</v>
      </c>
    </row>
    <row r="379" spans="2:5" ht="18.5" x14ac:dyDescent="0.45">
      <c r="B379" s="10" t="s">
        <v>791</v>
      </c>
      <c r="C379" s="13" t="s">
        <v>491</v>
      </c>
      <c r="D379" s="14" t="s">
        <v>792</v>
      </c>
      <c r="E379" s="15">
        <v>1690980000</v>
      </c>
    </row>
    <row r="380" spans="2:5" ht="18.5" x14ac:dyDescent="0.45">
      <c r="B380" s="10" t="s">
        <v>793</v>
      </c>
      <c r="C380" s="13" t="s">
        <v>491</v>
      </c>
      <c r="D380" s="14" t="s">
        <v>794</v>
      </c>
      <c r="E380" s="15">
        <v>1690980000</v>
      </c>
    </row>
    <row r="381" spans="2:5" ht="18.5" x14ac:dyDescent="0.45">
      <c r="B381" s="10" t="s">
        <v>795</v>
      </c>
      <c r="C381" s="13" t="s">
        <v>103</v>
      </c>
      <c r="D381" s="14" t="s">
        <v>796</v>
      </c>
      <c r="E381" s="15">
        <v>71225000</v>
      </c>
    </row>
    <row r="382" spans="2:5" ht="18.5" x14ac:dyDescent="0.45">
      <c r="B382" s="10" t="s">
        <v>797</v>
      </c>
      <c r="C382" s="13" t="s">
        <v>74</v>
      </c>
      <c r="D382" s="14" t="s">
        <v>798</v>
      </c>
      <c r="E382" s="15">
        <v>245756000</v>
      </c>
    </row>
    <row r="383" spans="2:5" ht="18.5" x14ac:dyDescent="0.45">
      <c r="B383" s="10" t="s">
        <v>799</v>
      </c>
      <c r="C383" s="13" t="s">
        <v>87</v>
      </c>
      <c r="D383" s="14" t="s">
        <v>800</v>
      </c>
      <c r="E383" s="15">
        <v>1300020000</v>
      </c>
    </row>
    <row r="384" spans="2:5" ht="18.5" x14ac:dyDescent="0.45">
      <c r="B384" s="10" t="s">
        <v>3</v>
      </c>
      <c r="C384" s="13" t="s">
        <v>109</v>
      </c>
      <c r="D384" s="14" t="s">
        <v>801</v>
      </c>
      <c r="E384" s="15">
        <v>2098660000</v>
      </c>
    </row>
    <row r="385" spans="2:5" ht="18.5" x14ac:dyDescent="0.45">
      <c r="B385" s="10" t="s">
        <v>802</v>
      </c>
      <c r="C385" s="13" t="s">
        <v>445</v>
      </c>
      <c r="D385" s="14" t="s">
        <v>803</v>
      </c>
      <c r="E385" s="15">
        <v>1502790000</v>
      </c>
    </row>
    <row r="386" spans="2:5" ht="18.5" x14ac:dyDescent="0.45">
      <c r="B386" s="10" t="s">
        <v>804</v>
      </c>
      <c r="C386" s="13" t="s">
        <v>445</v>
      </c>
      <c r="D386" s="14" t="s">
        <v>805</v>
      </c>
      <c r="E386" s="15">
        <v>1502790000</v>
      </c>
    </row>
    <row r="387" spans="2:5" ht="18.5" x14ac:dyDescent="0.45">
      <c r="B387" s="10" t="s">
        <v>806</v>
      </c>
      <c r="C387" s="13" t="s">
        <v>93</v>
      </c>
      <c r="D387" s="14" t="s">
        <v>807</v>
      </c>
      <c r="E387" s="15">
        <v>159907000</v>
      </c>
    </row>
    <row r="388" spans="2:5" ht="18.5" x14ac:dyDescent="0.45">
      <c r="B388" s="10" t="s">
        <v>808</v>
      </c>
      <c r="C388" s="13" t="s">
        <v>101</v>
      </c>
      <c r="D388" s="14" t="s">
        <v>809</v>
      </c>
      <c r="E388" s="15">
        <v>71220000</v>
      </c>
    </row>
    <row r="389" spans="2:5" ht="18.5" x14ac:dyDescent="0.45">
      <c r="B389" s="10" t="s">
        <v>810</v>
      </c>
      <c r="C389" s="13" t="s">
        <v>90</v>
      </c>
      <c r="D389" s="14" t="s">
        <v>811</v>
      </c>
      <c r="E389" s="15">
        <v>309089000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I78"/>
  <sheetViews>
    <sheetView showGridLines="0" tabSelected="1" zoomScale="70" zoomScaleNormal="70" workbookViewId="0"/>
  </sheetViews>
  <sheetFormatPr defaultRowHeight="14.5" x14ac:dyDescent="0.35"/>
  <cols>
    <col min="1" max="1" width="2.54296875" customWidth="1"/>
    <col min="2" max="2" width="31.1796875" customWidth="1"/>
    <col min="3" max="3" width="28.54296875" bestFit="1" customWidth="1"/>
    <col min="4" max="4" width="2.54296875" customWidth="1"/>
    <col min="5" max="5" width="11.54296875" customWidth="1"/>
    <col min="6" max="6" width="13.54296875" customWidth="1"/>
    <col min="7" max="7" width="24.1796875" bestFit="1" customWidth="1"/>
    <col min="8" max="8" width="22.1796875" customWidth="1"/>
    <col min="9" max="9" width="17.1796875" customWidth="1"/>
    <col min="10" max="10" width="2.453125" customWidth="1"/>
  </cols>
  <sheetData>
    <row r="1" spans="2:9" ht="8.5" customHeight="1" x14ac:dyDescent="0.35"/>
    <row r="2" spans="2:9" ht="29.5" customHeight="1" x14ac:dyDescent="0.5">
      <c r="B2" s="24" t="s">
        <v>53</v>
      </c>
      <c r="C2" s="24"/>
      <c r="E2" s="23" t="s">
        <v>814</v>
      </c>
      <c r="F2" s="23"/>
      <c r="G2" s="23"/>
      <c r="H2" s="23"/>
      <c r="I2" s="23"/>
    </row>
    <row r="3" spans="2:9" ht="18" customHeight="1" x14ac:dyDescent="0.35">
      <c r="B3" s="1" t="s">
        <v>0</v>
      </c>
      <c r="C3" s="16"/>
      <c r="E3" s="8">
        <v>1</v>
      </c>
      <c r="F3" s="8">
        <v>2</v>
      </c>
      <c r="G3" s="8">
        <v>3</v>
      </c>
      <c r="H3" s="8">
        <v>4</v>
      </c>
      <c r="I3" s="8">
        <v>5</v>
      </c>
    </row>
    <row r="4" spans="2:9" ht="18" customHeight="1" x14ac:dyDescent="0.35">
      <c r="B4" s="1" t="s">
        <v>812</v>
      </c>
      <c r="C4" s="16"/>
      <c r="E4" s="2" t="s">
        <v>52</v>
      </c>
      <c r="F4" s="3" t="s">
        <v>49</v>
      </c>
      <c r="G4" s="3" t="s">
        <v>2</v>
      </c>
      <c r="H4" s="3" t="s">
        <v>50</v>
      </c>
      <c r="I4" s="3" t="s">
        <v>51</v>
      </c>
    </row>
    <row r="5" spans="2:9" ht="18" customHeight="1" x14ac:dyDescent="0.35">
      <c r="B5" s="1" t="s">
        <v>813</v>
      </c>
      <c r="C5" s="18" t="str">
        <f>IFERROR(VLOOKUP(C3,RASCUNHO!$B$4:$E$389,3,FALSE),"")</f>
        <v/>
      </c>
      <c r="E5" s="4" t="s">
        <v>815</v>
      </c>
      <c r="F5" s="21"/>
      <c r="G5" s="21"/>
      <c r="H5" s="21"/>
      <c r="I5" s="21"/>
    </row>
    <row r="6" spans="2:9" ht="18" customHeight="1" x14ac:dyDescent="0.35">
      <c r="B6" s="1" t="s">
        <v>54</v>
      </c>
      <c r="C6" s="18" t="str">
        <f>IFERROR(VLOOKUP(C3,RASCUNHO!$B$4:$E$389,2,FALSE),"")</f>
        <v/>
      </c>
      <c r="E6" s="4" t="s">
        <v>816</v>
      </c>
      <c r="F6" s="21"/>
      <c r="G6" s="21"/>
      <c r="H6" s="21"/>
      <c r="I6" s="21"/>
    </row>
    <row r="7" spans="2:9" ht="18" customHeight="1" x14ac:dyDescent="0.35">
      <c r="B7" s="1" t="s">
        <v>46</v>
      </c>
      <c r="C7" s="19" t="str">
        <f>IFERROR(VLOOKUP(C3,RASCUNHO!$B$4:$E$389,4,FALSE),"")</f>
        <v/>
      </c>
      <c r="E7" s="4" t="s">
        <v>817</v>
      </c>
      <c r="F7" s="21"/>
      <c r="G7" s="21"/>
      <c r="H7" s="21"/>
      <c r="I7" s="21"/>
    </row>
    <row r="8" spans="2:9" ht="18" customHeight="1" x14ac:dyDescent="0.35">
      <c r="B8" s="1" t="s">
        <v>47</v>
      </c>
      <c r="C8" s="20" t="str">
        <f>IFERROR(C4/C7,"")</f>
        <v/>
      </c>
      <c r="E8" s="4" t="s">
        <v>818</v>
      </c>
      <c r="F8" s="21"/>
      <c r="G8" s="21"/>
      <c r="H8" s="21"/>
      <c r="I8" s="21"/>
    </row>
    <row r="9" spans="2:9" ht="18" customHeight="1" x14ac:dyDescent="0.35">
      <c r="C9" s="17"/>
      <c r="E9" s="4" t="s">
        <v>819</v>
      </c>
      <c r="F9" s="21"/>
      <c r="G9" s="21"/>
      <c r="H9" s="21"/>
      <c r="I9" s="21"/>
    </row>
    <row r="10" spans="2:9" ht="18" customHeight="1" x14ac:dyDescent="0.35">
      <c r="E10" s="4" t="s">
        <v>820</v>
      </c>
      <c r="F10" s="21"/>
      <c r="G10" s="21"/>
      <c r="H10" s="21"/>
      <c r="I10" s="21"/>
    </row>
    <row r="11" spans="2:9" ht="18" customHeight="1" x14ac:dyDescent="0.35">
      <c r="E11" s="4" t="s">
        <v>821</v>
      </c>
      <c r="F11" s="21"/>
      <c r="G11" s="21"/>
      <c r="H11" s="21"/>
      <c r="I11" s="21"/>
    </row>
    <row r="12" spans="2:9" ht="18" customHeight="1" x14ac:dyDescent="0.35">
      <c r="E12" s="4" t="s">
        <v>822</v>
      </c>
      <c r="F12" s="21"/>
      <c r="G12" s="21"/>
      <c r="H12" s="21"/>
      <c r="I12" s="21"/>
    </row>
    <row r="13" spans="2:9" ht="18" customHeight="1" x14ac:dyDescent="0.35">
      <c r="E13" s="4">
        <v>9</v>
      </c>
      <c r="F13" s="21"/>
      <c r="G13" s="21"/>
      <c r="H13" s="21"/>
      <c r="I13" s="21"/>
    </row>
    <row r="14" spans="2:9" ht="18" customHeight="1" x14ac:dyDescent="0.35">
      <c r="E14" s="4" t="s">
        <v>823</v>
      </c>
      <c r="F14" s="21"/>
      <c r="G14" s="21"/>
      <c r="H14" s="21"/>
      <c r="I14" s="21"/>
    </row>
    <row r="15" spans="2:9" ht="18" customHeight="1" x14ac:dyDescent="0.35">
      <c r="E15" s="4" t="s">
        <v>824</v>
      </c>
      <c r="F15" s="21"/>
      <c r="G15" s="21"/>
      <c r="H15" s="21"/>
      <c r="I15" s="21"/>
    </row>
    <row r="16" spans="2:9" ht="18" customHeight="1" x14ac:dyDescent="0.35">
      <c r="E16" s="4" t="s">
        <v>825</v>
      </c>
      <c r="F16" s="21"/>
      <c r="G16" s="21"/>
      <c r="H16" s="21"/>
      <c r="I16" s="21"/>
    </row>
    <row r="17" spans="5:9" ht="18" customHeight="1" x14ac:dyDescent="0.35">
      <c r="E17" s="4" t="s">
        <v>826</v>
      </c>
      <c r="F17" s="21"/>
      <c r="G17" s="21"/>
      <c r="H17" s="21"/>
      <c r="I17" s="21"/>
    </row>
    <row r="18" spans="5:9" ht="18" customHeight="1" x14ac:dyDescent="0.35">
      <c r="E18" s="4" t="s">
        <v>827</v>
      </c>
      <c r="F18" s="21"/>
      <c r="G18" s="21"/>
      <c r="H18" s="21"/>
      <c r="I18" s="21"/>
    </row>
    <row r="19" spans="5:9" ht="18" customHeight="1" x14ac:dyDescent="0.35">
      <c r="E19" s="4" t="s">
        <v>828</v>
      </c>
      <c r="F19" s="21"/>
      <c r="G19" s="21"/>
      <c r="H19" s="21"/>
      <c r="I19" s="21"/>
    </row>
    <row r="20" spans="5:9" x14ac:dyDescent="0.35">
      <c r="E20" s="4" t="s">
        <v>829</v>
      </c>
      <c r="F20" s="21"/>
      <c r="G20" s="21"/>
      <c r="H20" s="21"/>
      <c r="I20" s="21"/>
    </row>
    <row r="21" spans="5:9" x14ac:dyDescent="0.35">
      <c r="E21" s="4" t="s">
        <v>830</v>
      </c>
      <c r="F21" s="21"/>
      <c r="G21" s="21"/>
      <c r="H21" s="21"/>
      <c r="I21" s="21"/>
    </row>
    <row r="22" spans="5:9" x14ac:dyDescent="0.35">
      <c r="E22" s="4" t="s">
        <v>831</v>
      </c>
      <c r="F22" s="21"/>
      <c r="G22" s="21"/>
      <c r="H22" s="21"/>
      <c r="I22" s="21"/>
    </row>
    <row r="23" spans="5:9" x14ac:dyDescent="0.35">
      <c r="E23" s="4" t="s">
        <v>832</v>
      </c>
      <c r="F23" s="21"/>
      <c r="G23" s="21"/>
      <c r="H23" s="21"/>
      <c r="I23" s="21"/>
    </row>
    <row r="24" spans="5:9" x14ac:dyDescent="0.35">
      <c r="E24" s="4" t="s">
        <v>833</v>
      </c>
      <c r="F24" s="21"/>
      <c r="G24" s="21"/>
      <c r="H24" s="21"/>
      <c r="I24" s="21"/>
    </row>
    <row r="25" spans="5:9" x14ac:dyDescent="0.35">
      <c r="E25" s="4" t="s">
        <v>834</v>
      </c>
      <c r="F25" s="21"/>
      <c r="G25" s="21"/>
      <c r="H25" s="21"/>
      <c r="I25" s="21"/>
    </row>
    <row r="26" spans="5:9" x14ac:dyDescent="0.35">
      <c r="E26" s="4" t="s">
        <v>835</v>
      </c>
      <c r="F26" s="21"/>
      <c r="G26" s="21"/>
      <c r="H26" s="21"/>
      <c r="I26" s="21"/>
    </row>
    <row r="27" spans="5:9" x14ac:dyDescent="0.35">
      <c r="E27" s="4" t="s">
        <v>836</v>
      </c>
      <c r="F27" s="21"/>
      <c r="G27" s="21"/>
      <c r="H27" s="21"/>
      <c r="I27" s="21"/>
    </row>
    <row r="28" spans="5:9" x14ac:dyDescent="0.35">
      <c r="E28" s="4" t="s">
        <v>837</v>
      </c>
      <c r="F28" s="21"/>
      <c r="G28" s="21"/>
      <c r="H28" s="21"/>
      <c r="I28" s="21"/>
    </row>
    <row r="29" spans="5:9" x14ac:dyDescent="0.35">
      <c r="E29" s="4" t="s">
        <v>838</v>
      </c>
      <c r="F29" s="21"/>
      <c r="G29" s="21"/>
      <c r="H29" s="21"/>
      <c r="I29" s="21"/>
    </row>
    <row r="30" spans="5:9" x14ac:dyDescent="0.35">
      <c r="E30" s="4" t="s">
        <v>839</v>
      </c>
      <c r="F30" s="21"/>
      <c r="G30" s="21"/>
      <c r="H30" s="21"/>
      <c r="I30" s="21"/>
    </row>
    <row r="31" spans="5:9" x14ac:dyDescent="0.35">
      <c r="E31" s="4" t="s">
        <v>840</v>
      </c>
      <c r="F31" s="21"/>
      <c r="G31" s="21"/>
      <c r="H31" s="21"/>
      <c r="I31" s="21"/>
    </row>
    <row r="32" spans="5:9" x14ac:dyDescent="0.35">
      <c r="E32" s="4" t="s">
        <v>841</v>
      </c>
      <c r="F32" s="21"/>
      <c r="G32" s="21"/>
      <c r="H32" s="21"/>
      <c r="I32" s="21"/>
    </row>
    <row r="33" spans="2:9" x14ac:dyDescent="0.35">
      <c r="E33" s="4" t="s">
        <v>842</v>
      </c>
      <c r="F33" s="21"/>
      <c r="G33" s="21"/>
      <c r="H33" s="21"/>
      <c r="I33" s="21"/>
    </row>
    <row r="34" spans="2:9" x14ac:dyDescent="0.35">
      <c r="E34" s="4" t="s">
        <v>843</v>
      </c>
      <c r="F34" s="21"/>
      <c r="G34" s="21"/>
      <c r="H34" s="21"/>
      <c r="I34" s="21"/>
    </row>
    <row r="35" spans="2:9" x14ac:dyDescent="0.35">
      <c r="B35" s="5" t="s">
        <v>0</v>
      </c>
      <c r="E35" s="4" t="s">
        <v>844</v>
      </c>
      <c r="F35" s="21"/>
      <c r="G35" s="21"/>
      <c r="H35" s="21"/>
      <c r="I35" s="21"/>
    </row>
    <row r="36" spans="2:9" x14ac:dyDescent="0.35">
      <c r="B36" s="6" t="s">
        <v>3</v>
      </c>
      <c r="E36" s="4" t="s">
        <v>845</v>
      </c>
      <c r="F36" s="21"/>
      <c r="G36" s="21"/>
      <c r="H36" s="21"/>
      <c r="I36" s="21"/>
    </row>
    <row r="37" spans="2:9" x14ac:dyDescent="0.35">
      <c r="B37" s="6" t="s">
        <v>4</v>
      </c>
      <c r="E37" s="4" t="s">
        <v>846</v>
      </c>
      <c r="F37" s="21"/>
      <c r="G37" s="21"/>
      <c r="H37" s="21"/>
      <c r="I37" s="21"/>
    </row>
    <row r="38" spans="2:9" x14ac:dyDescent="0.35">
      <c r="B38" s="6" t="s">
        <v>5</v>
      </c>
      <c r="E38" s="4" t="s">
        <v>847</v>
      </c>
      <c r="F38" s="21"/>
      <c r="G38" s="21"/>
      <c r="H38" s="21"/>
      <c r="I38" s="21"/>
    </row>
    <row r="39" spans="2:9" x14ac:dyDescent="0.35">
      <c r="B39" s="6" t="s">
        <v>6</v>
      </c>
      <c r="E39" s="4" t="s">
        <v>848</v>
      </c>
      <c r="F39" s="21"/>
      <c r="G39" s="21"/>
      <c r="H39" s="21"/>
      <c r="I39" s="21"/>
    </row>
    <row r="40" spans="2:9" x14ac:dyDescent="0.35">
      <c r="B40" s="6" t="s">
        <v>7</v>
      </c>
    </row>
    <row r="41" spans="2:9" x14ac:dyDescent="0.35">
      <c r="B41" s="6" t="s">
        <v>8</v>
      </c>
    </row>
    <row r="42" spans="2:9" x14ac:dyDescent="0.35">
      <c r="B42" s="6" t="s">
        <v>9</v>
      </c>
    </row>
    <row r="43" spans="2:9" x14ac:dyDescent="0.35">
      <c r="B43" s="6" t="s">
        <v>11</v>
      </c>
    </row>
    <row r="44" spans="2:9" x14ac:dyDescent="0.35">
      <c r="B44" s="6" t="s">
        <v>10</v>
      </c>
    </row>
    <row r="45" spans="2:9" x14ac:dyDescent="0.35">
      <c r="B45" s="6" t="s">
        <v>12</v>
      </c>
    </row>
    <row r="46" spans="2:9" x14ac:dyDescent="0.35">
      <c r="B46" s="6" t="s">
        <v>13</v>
      </c>
    </row>
    <row r="47" spans="2:9" x14ac:dyDescent="0.35">
      <c r="B47" s="6" t="s">
        <v>14</v>
      </c>
    </row>
    <row r="48" spans="2:9" x14ac:dyDescent="0.35">
      <c r="B48" s="6" t="s">
        <v>15</v>
      </c>
    </row>
    <row r="49" spans="2:2" x14ac:dyDescent="0.35">
      <c r="B49" s="6" t="s">
        <v>16</v>
      </c>
    </row>
    <row r="50" spans="2:2" x14ac:dyDescent="0.35">
      <c r="B50" s="6" t="s">
        <v>17</v>
      </c>
    </row>
    <row r="51" spans="2:2" x14ac:dyDescent="0.35">
      <c r="B51" s="6" t="s">
        <v>18</v>
      </c>
    </row>
    <row r="52" spans="2:2" x14ac:dyDescent="0.35">
      <c r="B52" s="6" t="s">
        <v>19</v>
      </c>
    </row>
    <row r="53" spans="2:2" x14ac:dyDescent="0.35">
      <c r="B53" s="6" t="s">
        <v>20</v>
      </c>
    </row>
    <row r="54" spans="2:2" x14ac:dyDescent="0.35">
      <c r="B54" s="6" t="s">
        <v>21</v>
      </c>
    </row>
    <row r="55" spans="2:2" x14ac:dyDescent="0.35">
      <c r="B55" s="6" t="s">
        <v>22</v>
      </c>
    </row>
    <row r="56" spans="2:2" x14ac:dyDescent="0.35">
      <c r="B56" s="6" t="s">
        <v>23</v>
      </c>
    </row>
    <row r="57" spans="2:2" x14ac:dyDescent="0.35">
      <c r="B57" s="6" t="s">
        <v>24</v>
      </c>
    </row>
    <row r="58" spans="2:2" x14ac:dyDescent="0.35">
      <c r="B58" s="6" t="s">
        <v>25</v>
      </c>
    </row>
    <row r="59" spans="2:2" x14ac:dyDescent="0.35">
      <c r="B59" s="6" t="s">
        <v>26</v>
      </c>
    </row>
    <row r="60" spans="2:2" x14ac:dyDescent="0.35">
      <c r="B60" s="6" t="s">
        <v>27</v>
      </c>
    </row>
    <row r="61" spans="2:2" x14ac:dyDescent="0.35">
      <c r="B61" s="6" t="s">
        <v>28</v>
      </c>
    </row>
    <row r="62" spans="2:2" x14ac:dyDescent="0.35">
      <c r="B62" s="6" t="s">
        <v>29</v>
      </c>
    </row>
    <row r="63" spans="2:2" x14ac:dyDescent="0.35">
      <c r="B63" s="6" t="s">
        <v>30</v>
      </c>
    </row>
    <row r="64" spans="2:2" x14ac:dyDescent="0.35">
      <c r="B64" s="6" t="s">
        <v>31</v>
      </c>
    </row>
    <row r="65" spans="2:2" x14ac:dyDescent="0.35">
      <c r="B65" s="6" t="s">
        <v>45</v>
      </c>
    </row>
    <row r="66" spans="2:2" x14ac:dyDescent="0.35">
      <c r="B66" s="6" t="s">
        <v>32</v>
      </c>
    </row>
    <row r="67" spans="2:2" x14ac:dyDescent="0.35">
      <c r="B67" s="6" t="s">
        <v>33</v>
      </c>
    </row>
    <row r="68" spans="2:2" x14ac:dyDescent="0.35">
      <c r="B68" s="6" t="s">
        <v>34</v>
      </c>
    </row>
    <row r="69" spans="2:2" x14ac:dyDescent="0.35">
      <c r="B69" s="6" t="s">
        <v>35</v>
      </c>
    </row>
    <row r="70" spans="2:2" x14ac:dyDescent="0.35">
      <c r="B70" s="6" t="s">
        <v>36</v>
      </c>
    </row>
    <row r="71" spans="2:2" x14ac:dyDescent="0.35">
      <c r="B71" s="6" t="s">
        <v>37</v>
      </c>
    </row>
    <row r="72" spans="2:2" x14ac:dyDescent="0.35">
      <c r="B72" s="6" t="s">
        <v>38</v>
      </c>
    </row>
    <row r="73" spans="2:2" x14ac:dyDescent="0.35">
      <c r="B73" s="6" t="s">
        <v>39</v>
      </c>
    </row>
    <row r="74" spans="2:2" x14ac:dyDescent="0.35">
      <c r="B74" s="6" t="s">
        <v>40</v>
      </c>
    </row>
    <row r="75" spans="2:2" x14ac:dyDescent="0.35">
      <c r="B75" s="6" t="s">
        <v>41</v>
      </c>
    </row>
    <row r="76" spans="2:2" x14ac:dyDescent="0.35">
      <c r="B76" s="6" t="s">
        <v>42</v>
      </c>
    </row>
    <row r="77" spans="2:2" x14ac:dyDescent="0.35">
      <c r="B77" s="6" t="s">
        <v>43</v>
      </c>
    </row>
    <row r="78" spans="2:2" x14ac:dyDescent="0.35">
      <c r="B78" s="6" t="s">
        <v>44</v>
      </c>
    </row>
  </sheetData>
  <mergeCells count="2">
    <mergeCell ref="E2:I2"/>
    <mergeCell ref="B2:C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RASCUNHO!$B$4:$B$389</xm:f>
          </x14:formula1>
          <xm:sqref>C3 F5:F39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RASCUNHO</vt:lpstr>
      <vt:lpstr>RESULTADO</vt:lpstr>
      <vt:lpstr>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Souza</dc:creator>
  <cp:lastModifiedBy>Matheus Souza</cp:lastModifiedBy>
  <dcterms:created xsi:type="dcterms:W3CDTF">2020-05-23T04:36:41Z</dcterms:created>
  <dcterms:modified xsi:type="dcterms:W3CDTF">2020-10-15T22:48:42Z</dcterms:modified>
</cp:coreProperties>
</file>